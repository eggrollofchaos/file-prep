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er Database April" sheetId="1" state="visible" r:id="rId3"/>
    <sheet name="Funder Database March" sheetId="2" state="visible" r:id="rId4"/>
    <sheet name="Pipeline Summary" sheetId="3" state="visible" r:id="rId5"/>
  </sheets>
  <definedNames>
    <definedName function="false" hidden="true" localSheetId="0" name="_xlnm._FilterDatabase" vbProcedure="false">'Funder Database April'!$A$1:$AK$1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<sst xmlns="http://schemas.openxmlformats.org/spreadsheetml/2006/main" count="3995" uniqueCount="820">
  <si>
    <t xml:space="preserve">Funder ID</t>
  </si>
  <si>
    <t xml:space="preserve">Donor Name</t>
  </si>
  <si>
    <t xml:space="preserve">Organization</t>
  </si>
  <si>
    <t xml:space="preserve">Donor Type</t>
  </si>
  <si>
    <t xml:space="preserve">Stage</t>
  </si>
  <si>
    <t xml:space="preserve">Status</t>
  </si>
  <si>
    <t xml:space="preserve">Primary Contact Email</t>
  </si>
  <si>
    <t xml:space="preserve">Phone</t>
  </si>
  <si>
    <t xml:space="preserve">Region</t>
  </si>
  <si>
    <t xml:space="preserve">Giving Level</t>
  </si>
  <si>
    <t xml:space="preserve">First Gift Date</t>
  </si>
  <si>
    <t xml:space="preserve">First Gift Amount</t>
  </si>
  <si>
    <t xml:space="preserve">FY2023 Giving</t>
  </si>
  <si>
    <t xml:space="preserve">FY2024 Giving</t>
  </si>
  <si>
    <t xml:space="preserve">FY2025 Giving</t>
  </si>
  <si>
    <t xml:space="preserve">FY2026 Giving (YTD)</t>
  </si>
  <si>
    <t xml:space="preserve">Lifetime Giving</t>
  </si>
  <si>
    <t xml:space="preserve">Multi-Year Pledge?</t>
  </si>
  <si>
    <t xml:space="preserve">Pledge Total</t>
  </si>
  <si>
    <t xml:space="preserve">Pledge Start FY</t>
  </si>
  <si>
    <t xml:space="preserve">Pledge End FY</t>
  </si>
  <si>
    <t xml:space="preserve">Current Pledge Year</t>
  </si>
  <si>
    <t xml:space="preserve">Annual Pledge Amount</t>
  </si>
  <si>
    <t xml:space="preserve">Fund / DAF</t>
  </si>
  <si>
    <t xml:space="preserve">Gift Designation</t>
  </si>
  <si>
    <t xml:space="preserve">Stewardship Owner</t>
  </si>
  <si>
    <t xml:space="preserve">Last Contact Date</t>
  </si>
  <si>
    <t xml:space="preserve">Last Contact Type</t>
  </si>
  <si>
    <t xml:space="preserve">Next Action</t>
  </si>
  <si>
    <t xml:space="preserve">Next Action Date</t>
  </si>
  <si>
    <t xml:space="preserve">Board Member?</t>
  </si>
  <si>
    <t xml:space="preserve">Advisory Council?</t>
  </si>
  <si>
    <t xml:space="preserve">Event Attendance (Last 12mo)</t>
  </si>
  <si>
    <t xml:space="preserve">Capacity Rating</t>
  </si>
  <si>
    <t xml:space="preserve">Likelihood Rating</t>
  </si>
  <si>
    <t xml:space="preserve">Priority Score</t>
  </si>
  <si>
    <t xml:space="preserve">Notes</t>
  </si>
  <si>
    <t xml:space="preserve">Account Owner</t>
  </si>
  <si>
    <t xml:space="preserve">F-001</t>
  </si>
  <si>
    <t xml:space="preserve">David &amp; Rachel Kim</t>
  </si>
  <si>
    <t xml:space="preserve">Kim Family Trust</t>
  </si>
  <si>
    <t xml:space="preserve">Individual/Family</t>
  </si>
  <si>
    <t xml:space="preserve">Stewardship</t>
  </si>
  <si>
    <t xml:space="preserve">Active</t>
  </si>
  <si>
    <t xml:space="preserve">david.kim@kimfamilytrust.org</t>
  </si>
  <si>
    <t xml:space="preserve">(310) 555-6243</t>
  </si>
  <si>
    <t xml:space="preserve">West Coast</t>
  </si>
  <si>
    <t xml:space="preserve">Transformational</t>
  </si>
  <si>
    <t xml:space="preserve">03/15/2016</t>
  </si>
  <si>
    <t xml:space="preserve">Yes</t>
  </si>
  <si>
    <t xml:space="preserve">FY2022</t>
  </si>
  <si>
    <t xml:space="preserve">FY2027</t>
  </si>
  <si>
    <t xml:space="preserve">5 of 6</t>
  </si>
  <si>
    <t xml:space="preserve">Kim Family DAF - Goldman Sachs Philanthropy Fund</t>
  </si>
  <si>
    <t xml:space="preserve">Unrestricted / West Coast Initiative</t>
  </si>
  <si>
    <t xml:space="preserve">Sarah Mitchell</t>
  </si>
  <si>
    <t xml:space="preserve">03/12/2026</t>
  </si>
  <si>
    <t xml:space="preserve">In-person meeting</t>
  </si>
  <si>
    <t xml:space="preserve">Cultivation event planning at Kim residence</t>
  </si>
  <si>
    <t xml:space="preserve">05/01/2026</t>
  </si>
  <si>
    <t xml:space="preserve">No</t>
  </si>
  <si>
    <t xml:space="preserve">A ($1M+)</t>
  </si>
  <si>
    <t xml:space="preserve">Very High</t>
  </si>
  <si>
    <t xml:space="preserve">10-year donor. Interested in West Coast expansion. Rachel hosting May gala cultivation event.</t>
  </si>
  <si>
    <t xml:space="preserve">Lisa</t>
  </si>
  <si>
    <t xml:space="preserve">F-002</t>
  </si>
  <si>
    <t xml:space="preserve">Margaret Chen</t>
  </si>
  <si>
    <t xml:space="preserve">Chen Family Foundation</t>
  </si>
  <si>
    <t xml:space="preserve">Foundation</t>
  </si>
  <si>
    <t xml:space="preserve">margaret.chen@chenfamilyfdn.org</t>
  </si>
  <si>
    <t xml:space="preserve">(415) 555-2891</t>
  </si>
  <si>
    <t xml:space="preserve">Major</t>
  </si>
  <si>
    <t xml:space="preserve">09/20/2019</t>
  </si>
  <si>
    <t xml:space="preserve">FY2024</t>
  </si>
  <si>
    <t xml:space="preserve">FY2028</t>
  </si>
  <si>
    <t xml:space="preserve">3 of 5</t>
  </si>
  <si>
    <t xml:space="preserve">Chen Family DAF - Fidelity Charitable</t>
  </si>
  <si>
    <t xml:space="preserve">STEM Education</t>
  </si>
  <si>
    <t xml:space="preserve">02/28/2026</t>
  </si>
  <si>
    <t xml:space="preserve">Phone call</t>
  </si>
  <si>
    <t xml:space="preserve">Finalize advisory board invitation</t>
  </si>
  <si>
    <t xml:space="preserve">04/15/2026</t>
  </si>
  <si>
    <t xml:space="preserve">Pending</t>
  </si>
  <si>
    <t xml:space="preserve">High</t>
  </si>
  <si>
    <t xml:space="preserve">Connected us with Priya Ramanathan. Interested in advisory board.</t>
  </si>
  <si>
    <t xml:space="preserve">Rafaela</t>
  </si>
  <si>
    <t xml:space="preserve">F-003</t>
  </si>
  <si>
    <t xml:space="preserve">Alicia Gutierrez-Santos</t>
  </si>
  <si>
    <t xml:space="preserve">Santos Foundation</t>
  </si>
  <si>
    <t xml:space="preserve">alicia@santosfoundation.org</t>
  </si>
  <si>
    <t xml:space="preserve">(713) 555-3476</t>
  </si>
  <si>
    <t xml:space="preserve">Southwest</t>
  </si>
  <si>
    <t xml:space="preserve">06/10/2021</t>
  </si>
  <si>
    <t xml:space="preserve">Santos Foundation DAF - National Philanthropic Trust</t>
  </si>
  <si>
    <t xml:space="preserve">STEM Education Pipeline</t>
  </si>
  <si>
    <t xml:space="preserve">Maria Lopez</t>
  </si>
  <si>
    <t xml:space="preserve">03/05/2026</t>
  </si>
  <si>
    <t xml:space="preserve">Email</t>
  </si>
  <si>
    <t xml:space="preserve">Coordinate joint site visit with Sandra Okonkwo</t>
  </si>
  <si>
    <t xml:space="preserve">04/20/2026</t>
  </si>
  <si>
    <t xml:space="preserve">B ($500K-$1M)</t>
  </si>
  <si>
    <t xml:space="preserve">Earmarked for STEM pipeline. Wants quarterly impact reports. Suggested joint site visit with Okonkwo.</t>
  </si>
  <si>
    <t xml:space="preserve">Jack</t>
  </si>
  <si>
    <t xml:space="preserve">F-004</t>
  </si>
  <si>
    <t xml:space="preserve">Robert Blackwell III</t>
  </si>
  <si>
    <t xml:space="preserve">Blackwell Industries</t>
  </si>
  <si>
    <t xml:space="preserve">Corporate</t>
  </si>
  <si>
    <t xml:space="preserve">Cultivation</t>
  </si>
  <si>
    <t xml:space="preserve">r.blackwell@blackwellindustries.com</t>
  </si>
  <si>
    <t xml:space="preserve">(212) 555-7634</t>
  </si>
  <si>
    <t xml:space="preserve">Northeast</t>
  </si>
  <si>
    <t xml:space="preserve">01/22/2026</t>
  </si>
  <si>
    <t xml:space="preserve">Blackwell Giving Fund - Schwab Charitable</t>
  </si>
  <si>
    <t xml:space="preserve">Northeast Programs</t>
  </si>
  <si>
    <t xml:space="preserve">James Wright</t>
  </si>
  <si>
    <t xml:space="preserve">02/15/2026</t>
  </si>
  <si>
    <t xml:space="preserve">Schedule second meeting; discuss multi-year</t>
  </si>
  <si>
    <t xml:space="preserve">04/30/2026</t>
  </si>
  <si>
    <t xml:space="preserve">Medium</t>
  </si>
  <si>
    <t xml:space="preserve">First-time major donor. Board referral from Thomas Fitzgerald. High capacity prospect.</t>
  </si>
  <si>
    <t xml:space="preserve">F-005</t>
  </si>
  <si>
    <t xml:space="preserve">James &amp; Dorothy Whitfield</t>
  </si>
  <si>
    <t xml:space="preserve">Whitfield Group</t>
  </si>
  <si>
    <t xml:space="preserve">jwhitfield@whitfieldgroup.net</t>
  </si>
  <si>
    <t xml:space="preserve">(312) 555-8819</t>
  </si>
  <si>
    <t xml:space="preserve">Midwest</t>
  </si>
  <si>
    <t xml:space="preserve">11/01/2018</t>
  </si>
  <si>
    <t xml:space="preserve">Whitfield Family DAF - Vanguard Charitable</t>
  </si>
  <si>
    <t xml:space="preserve">Unrestricted</t>
  </si>
  <si>
    <t xml:space="preserve">01/20/2026</t>
  </si>
  <si>
    <t xml:space="preserve">Holiday card + call</t>
  </si>
  <si>
    <t xml:space="preserve">Annual renewal meeting</t>
  </si>
  <si>
    <t xml:space="preserve">09/15/2026</t>
  </si>
  <si>
    <t xml:space="preserve">Steady annual renewal. Very loyal.</t>
  </si>
  <si>
    <t xml:space="preserve">F-006</t>
  </si>
  <si>
    <t xml:space="preserve">Naomi Ashford</t>
  </si>
  <si>
    <t xml:space="preserve">Ashford Philanthropic Group</t>
  </si>
  <si>
    <t xml:space="preserve">nashford@ashfordphilanthropy.org</t>
  </si>
  <si>
    <t xml:space="preserve">(503) 555-7789</t>
  </si>
  <si>
    <t xml:space="preserve">Pacific NW</t>
  </si>
  <si>
    <t xml:space="preserve">04/22/2020</t>
  </si>
  <si>
    <t xml:space="preserve">Ashford DAF - BNY Mellon</t>
  </si>
  <si>
    <t xml:space="preserve">Rural Program Expansion</t>
  </si>
  <si>
    <t xml:space="preserve">03/15/2026</t>
  </si>
  <si>
    <t xml:space="preserve">Send Q1 impact report</t>
  </si>
  <si>
    <t xml:space="preserve">04/10/2026</t>
  </si>
  <si>
    <t xml:space="preserve">Earmarked for rural expansion. Very engaged with program outcomes.</t>
  </si>
  <si>
    <t xml:space="preserve">F-007</t>
  </si>
  <si>
    <t xml:space="preserve">Priya Ramanathan</t>
  </si>
  <si>
    <t xml:space="preserve">Ramanathan &amp; Associates</t>
  </si>
  <si>
    <t xml:space="preserve">priya@ramanathan-assoc.com</t>
  </si>
  <si>
    <t xml:space="preserve">(617) 555-4102</t>
  </si>
  <si>
    <t xml:space="preserve">Mid-Level</t>
  </si>
  <si>
    <t xml:space="preserve">08/15/2022</t>
  </si>
  <si>
    <t xml:space="preserve">Direct</t>
  </si>
  <si>
    <t xml:space="preserve">02/03/2026</t>
  </si>
  <si>
    <t xml:space="preserve">Thank you + impact report</t>
  </si>
  <si>
    <t xml:space="preserve">C ($100K-$500K)</t>
  </si>
  <si>
    <t xml:space="preserve">Referred by Margaret Chen. Increased from $50K to $75K this year.</t>
  </si>
  <si>
    <t xml:space="preserve">F-008</t>
  </si>
  <si>
    <t xml:space="preserve">Michael &amp; Patricia Novak</t>
  </si>
  <si>
    <t xml:space="preserve">Novak Family Foundation</t>
  </si>
  <si>
    <t xml:space="preserve">mnovak@novakfamilyfdn.org</t>
  </si>
  <si>
    <t xml:space="preserve">(847) 555-4412</t>
  </si>
  <si>
    <t xml:space="preserve">02/20/2021</t>
  </si>
  <si>
    <t xml:space="preserve">Novak Family DAF - Community Foundation</t>
  </si>
  <si>
    <t xml:space="preserve">Pell-Eligible Student Scholarships</t>
  </si>
  <si>
    <t xml:space="preserve">03/18/2026</t>
  </si>
  <si>
    <t xml:space="preserve">Prepare renewal proposal</t>
  </si>
  <si>
    <t xml:space="preserve">Focus on Pell-eligible students in Midwest. Opportunity for programmatic partnership.</t>
  </si>
  <si>
    <t xml:space="preserve">F-009</t>
  </si>
  <si>
    <t xml:space="preserve">Sandra Okonkwo</t>
  </si>
  <si>
    <t xml:space="preserve">Okonkwo Ventures</t>
  </si>
  <si>
    <t xml:space="preserve">sokonkwo@okonkwoventures.com</t>
  </si>
  <si>
    <t xml:space="preserve">(404) 555-1357</t>
  </si>
  <si>
    <t xml:space="preserve">Southeast</t>
  </si>
  <si>
    <t xml:space="preserve">02/14/2026</t>
  </si>
  <si>
    <t xml:space="preserve">Scholarship Program</t>
  </si>
  <si>
    <t xml:space="preserve">Event follow-up</t>
  </si>
  <si>
    <t xml:space="preserve">Joint site visit with Gutierrez-Santos</t>
  </si>
  <si>
    <t xml:space="preserve">Event follow-up conversion. Shares interest in scholarship program with Gutierrez-Santos.</t>
  </si>
  <si>
    <t xml:space="preserve">F-010</t>
  </si>
  <si>
    <t xml:space="preserve">Thomas Fitzgerald</t>
  </si>
  <si>
    <t xml:space="preserve">Fitzgerald &amp; Moore LLP</t>
  </si>
  <si>
    <t xml:space="preserve">tfitzgerald@fitzmoore.com</t>
  </si>
  <si>
    <t xml:space="preserve">(202) 555-9088</t>
  </si>
  <si>
    <t xml:space="preserve">Mid-Atlantic</t>
  </si>
  <si>
    <t xml:space="preserve">05/10/2020</t>
  </si>
  <si>
    <t xml:space="preserve">Unrestricted + Pro Bono Legal</t>
  </si>
  <si>
    <t xml:space="preserve">03/01/2026</t>
  </si>
  <si>
    <t xml:space="preserve">Discuss pro bono capacity for next FY</t>
  </si>
  <si>
    <t xml:space="preserve">Also provides pro bono legal support. Referred Robert Blackwell III.</t>
  </si>
  <si>
    <t xml:space="preserve">F-011</t>
  </si>
  <si>
    <t xml:space="preserve">William R. Thornton</t>
  </si>
  <si>
    <t xml:space="preserve">Thornton Capital Partners</t>
  </si>
  <si>
    <t xml:space="preserve">Qualification</t>
  </si>
  <si>
    <t xml:space="preserve">Prospect</t>
  </si>
  <si>
    <t xml:space="preserve">wthornton@thorntoncap.com</t>
  </si>
  <si>
    <t xml:space="preserve">(646) 555-5521</t>
  </si>
  <si>
    <t xml:space="preserve">10/05/2025</t>
  </si>
  <si>
    <t xml:space="preserve">03/10/2026</t>
  </si>
  <si>
    <t xml:space="preserve">Prepare board nomination package</t>
  </si>
  <si>
    <t xml:space="preserve">Strong board prospect. Requested meeting with ED. Deepening engagement since fall reception.</t>
  </si>
  <si>
    <t xml:space="preserve">F-012</t>
  </si>
  <si>
    <t xml:space="preserve">Evelyn Tran</t>
  </si>
  <si>
    <t xml:space="preserve">Tran Holdings LLC</t>
  </si>
  <si>
    <t xml:space="preserve">evelyn.tran@tranholdings.com</t>
  </si>
  <si>
    <t xml:space="preserve">(408) 555-2106</t>
  </si>
  <si>
    <t xml:space="preserve">Entry</t>
  </si>
  <si>
    <t xml:space="preserve">12/01/2025</t>
  </si>
  <si>
    <t xml:space="preserve">Alumni Scholarship</t>
  </si>
  <si>
    <t xml:space="preserve">03/22/2026</t>
  </si>
  <si>
    <t xml:space="preserve">Follow up on named scholarship fund interest</t>
  </si>
  <si>
    <t xml:space="preserve">Low</t>
  </si>
  <si>
    <t xml:space="preserve">Alumni, Class of 2005. Company just completed Series C. Interested in named scholarship fund.</t>
  </si>
  <si>
    <t xml:space="preserve">F-013</t>
  </si>
  <si>
    <t xml:space="preserve">Hiroshi Tanaka</t>
  </si>
  <si>
    <t xml:space="preserve">Tanaka Biotech Inc.</t>
  </si>
  <si>
    <t xml:space="preserve">Identification</t>
  </si>
  <si>
    <t xml:space="preserve">htanaka@tanakabiotech.com</t>
  </si>
  <si>
    <t xml:space="preserve">(858) 555-3891</t>
  </si>
  <si>
    <t xml:space="preserve">None</t>
  </si>
  <si>
    <t xml:space="preserve">01/10/2026</t>
  </si>
  <si>
    <t xml:space="preserve">Research</t>
  </si>
  <si>
    <t xml:space="preserve">Request intro through Margaret Chen</t>
  </si>
  <si>
    <t xml:space="preserve">UC San Diego connection. Biotech IPO 2024. Interested in STEM education per public statements.</t>
  </si>
  <si>
    <t xml:space="preserve">F-014</t>
  </si>
  <si>
    <t xml:space="preserve">Denise &amp; Marcus Hargrove</t>
  </si>
  <si>
    <t xml:space="preserve">Hargrove Family Fund</t>
  </si>
  <si>
    <t xml:space="preserve">dhargrove@hargrovefund.org</t>
  </si>
  <si>
    <t xml:space="preserve">(404) 555-8822</t>
  </si>
  <si>
    <t xml:space="preserve">12/15/2025</t>
  </si>
  <si>
    <t xml:space="preserve">Outreach via annual appeal mailing</t>
  </si>
  <si>
    <t xml:space="preserve">Atlanta-based philanthropy family. Focus on education equity. Identified via peer screening.</t>
  </si>
  <si>
    <t xml:space="preserve">F-015</t>
  </si>
  <si>
    <t xml:space="preserve">Victoria Langston-Reed</t>
  </si>
  <si>
    <t xml:space="preserve">Reed Foundation</t>
  </si>
  <si>
    <t xml:space="preserve">Solicitation</t>
  </si>
  <si>
    <t xml:space="preserve">vlreed@reedfoundation.org</t>
  </si>
  <si>
    <t xml:space="preserve">(617) 555-6100</t>
  </si>
  <si>
    <t xml:space="preserve">Scholarship / General</t>
  </si>
  <si>
    <t xml:space="preserve">03/28/2026</t>
  </si>
  <si>
    <t xml:space="preserve">Proposal submitted</t>
  </si>
  <si>
    <t xml:space="preserve">Await foundation board decision</t>
  </si>
  <si>
    <t xml:space="preserve">06/01/2026</t>
  </si>
  <si>
    <t xml:space="preserve">$200K proposal submitted for scholarship endowment. Foundation board meets quarterly.</t>
  </si>
  <si>
    <t xml:space="preserve">F-016</t>
  </si>
  <si>
    <t xml:space="preserve">Gregory &amp; Susan Patel</t>
  </si>
  <si>
    <t xml:space="preserve">Patel Family Trust</t>
  </si>
  <si>
    <t xml:space="preserve">Re-engagement</t>
  </si>
  <si>
    <t xml:space="preserve">Lapsed</t>
  </si>
  <si>
    <t xml:space="preserve">gpatel@patelfamilytrust.org</t>
  </si>
  <si>
    <t xml:space="preserve">(312) 555-2200</t>
  </si>
  <si>
    <t xml:space="preserve">06/01/2018</t>
  </si>
  <si>
    <t xml:space="preserve">Patel Family DAF - Schwab</t>
  </si>
  <si>
    <t xml:space="preserve">11/20/2025</t>
  </si>
  <si>
    <t xml:space="preserve">Phone call (voicemail)</t>
  </si>
  <si>
    <t xml:space="preserve">Send personalized re-engagement letter</t>
  </si>
  <si>
    <t xml:space="preserve">Yes (Former)</t>
  </si>
  <si>
    <t xml:space="preserve">Last gift FY2024. Missed FY2025 renewal. Was on advisory council. Personal outreach needed.</t>
  </si>
  <si>
    <t xml:space="preserve">F-017</t>
  </si>
  <si>
    <t xml:space="preserve">Diana Kowalski</t>
  </si>
  <si>
    <t xml:space="preserve">Kowalski Media Group</t>
  </si>
  <si>
    <t xml:space="preserve">dkowalski@kowalskimedia.com</t>
  </si>
  <si>
    <t xml:space="preserve">(646) 555-4477</t>
  </si>
  <si>
    <t xml:space="preserve">09/15/2020</t>
  </si>
  <si>
    <t xml:space="preserve">10/01/2025</t>
  </si>
  <si>
    <t xml:space="preserve">Email (no response)</t>
  </si>
  <si>
    <t xml:space="preserve">Try phone outreach</t>
  </si>
  <si>
    <t xml:space="preserve">Last gift FY2024. No response to renewal emails. Try phone.</t>
  </si>
  <si>
    <t xml:space="preserve">F-018</t>
  </si>
  <si>
    <t xml:space="preserve">Lawrence Bennett</t>
  </si>
  <si>
    <t xml:space="preserve">Bennett Capital LLC</t>
  </si>
  <si>
    <t xml:space="preserve">Closed - Declined</t>
  </si>
  <si>
    <t xml:space="preserve">Inactive</t>
  </si>
  <si>
    <t xml:space="preserve">lbennett@bennettcap.com</t>
  </si>
  <si>
    <t xml:space="preserve">(415) 555-9900</t>
  </si>
  <si>
    <t xml:space="preserve">09/15/2025</t>
  </si>
  <si>
    <t xml:space="preserve">Monitor; revisit in 18 months</t>
  </si>
  <si>
    <t xml:space="preserve">03/15/2027</t>
  </si>
  <si>
    <t xml:space="preserve">Very Low</t>
  </si>
  <si>
    <t xml:space="preserve">Declined after solicitation meeting. Cited other philanthropic priorities. Polite; door not closed.</t>
  </si>
  <si>
    <t xml:space="preserve">F-019</t>
  </si>
  <si>
    <t xml:space="preserve">Catherine &amp; James Moreau</t>
  </si>
  <si>
    <t xml:space="preserve">Moreau Foundation</t>
  </si>
  <si>
    <t xml:space="preserve">cmoreau@moreaufoundation.org</t>
  </si>
  <si>
    <t xml:space="preserve">(504) 555-3321</t>
  </si>
  <si>
    <t xml:space="preserve">01/10/2019</t>
  </si>
  <si>
    <t xml:space="preserve">Moreau Foundation DAF - Fidelity</t>
  </si>
  <si>
    <t xml:space="preserve">First-Generation Student Support</t>
  </si>
  <si>
    <t xml:space="preserve">03/20/2026</t>
  </si>
  <si>
    <t xml:space="preserve">Discuss program expansion opportunities</t>
  </si>
  <si>
    <t xml:space="preserve">05/10/2026</t>
  </si>
  <si>
    <t xml:space="preserve">New Orleans-based. Deep interest in first-gen students. Annual site visits.</t>
  </si>
  <si>
    <t xml:space="preserve">F-020</t>
  </si>
  <si>
    <t xml:space="preserve">Richard Cheng</t>
  </si>
  <si>
    <t xml:space="preserve">Cheng Dynamics</t>
  </si>
  <si>
    <t xml:space="preserve">rcheng@chengdynamics.com</t>
  </si>
  <si>
    <t xml:space="preserve">(650) 555-8812</t>
  </si>
  <si>
    <t xml:space="preserve">03/01/2022</t>
  </si>
  <si>
    <t xml:space="preserve">02/20/2026</t>
  </si>
  <si>
    <t xml:space="preserve">Invite to May gala</t>
  </si>
  <si>
    <t xml:space="preserve">Growing engagement. Employee matching program potential.</t>
  </si>
  <si>
    <t xml:space="preserve">F-021</t>
  </si>
  <si>
    <t xml:space="preserve">Amara Osei-Mensah</t>
  </si>
  <si>
    <t xml:space="preserve">Osei-Mensah Family Trust</t>
  </si>
  <si>
    <t xml:space="preserve">aosei@oseimensah.org</t>
  </si>
  <si>
    <t xml:space="preserve">(770) 555-6644</t>
  </si>
  <si>
    <t xml:space="preserve">06/15/2021</t>
  </si>
  <si>
    <t xml:space="preserve">Osei-Mensah DAF - Vanguard</t>
  </si>
  <si>
    <t xml:space="preserve">01/30/2026</t>
  </si>
  <si>
    <t xml:space="preserve">Propose multi-year pledge</t>
  </si>
  <si>
    <t xml:space="preserve">04/25/2026</t>
  </si>
  <si>
    <t xml:space="preserve">Atlanta-based. Increasing annually. Ready for major gift conversation.</t>
  </si>
  <si>
    <t xml:space="preserve">F-022</t>
  </si>
  <si>
    <t xml:space="preserve">Patricia &amp; Leonard Dubois</t>
  </si>
  <si>
    <t xml:space="preserve">Dubois Charitable Fund</t>
  </si>
  <si>
    <t xml:space="preserve">pdubois@duboisfund.org</t>
  </si>
  <si>
    <t xml:space="preserve">(617) 555-1198</t>
  </si>
  <si>
    <t xml:space="preserve">09/01/2017</t>
  </si>
  <si>
    <t xml:space="preserve">FY2023</t>
  </si>
  <si>
    <t xml:space="preserve">4 of 5</t>
  </si>
  <si>
    <t xml:space="preserve">Dubois DAF - BNY Mellon</t>
  </si>
  <si>
    <t xml:space="preserve">Final pledge year discussion; renewal strategy</t>
  </si>
  <si>
    <t xml:space="preserve">Board member. Entering final pledge year. Need to discuss renewal or increase.</t>
  </si>
  <si>
    <t xml:space="preserve">F-023</t>
  </si>
  <si>
    <t xml:space="preserve">Kenji &amp; Yuki Watanabe</t>
  </si>
  <si>
    <t xml:space="preserve">Watanabe Group</t>
  </si>
  <si>
    <t xml:space="preserve">kwatanabe@watanabegroup.co</t>
  </si>
  <si>
    <t xml:space="preserve">(206) 555-4455</t>
  </si>
  <si>
    <t xml:space="preserve">11/15/2024</t>
  </si>
  <si>
    <t xml:space="preserve">Rural Program</t>
  </si>
  <si>
    <t xml:space="preserve">Tour rural program sites</t>
  </si>
  <si>
    <t xml:space="preserve">05/15/2026</t>
  </si>
  <si>
    <t xml:space="preserve">Seattle-based. Second gift indicates deepening. Schedule site visit.</t>
  </si>
  <si>
    <t xml:space="preserve">F-024</t>
  </si>
  <si>
    <t xml:space="preserve">Helen Markovich</t>
  </si>
  <si>
    <t xml:space="preserve">Markovich Partners LLC</t>
  </si>
  <si>
    <t xml:space="preserve">hmarkovich@markovichpartners.com</t>
  </si>
  <si>
    <t xml:space="preserve">(312) 555-7733</t>
  </si>
  <si>
    <t xml:space="preserve">04/20/2020</t>
  </si>
  <si>
    <t xml:space="preserve">02/10/2026</t>
  </si>
  <si>
    <t xml:space="preserve">Send FY2026 impact summary</t>
  </si>
  <si>
    <t xml:space="preserve">Advisory council member. Consistent growth. Midwest business network connections.</t>
  </si>
  <si>
    <t xml:space="preserve">F-025</t>
  </si>
  <si>
    <t xml:space="preserve">Raj &amp; Sunita Kapoor</t>
  </si>
  <si>
    <t xml:space="preserve">Kapoor Family Foundation</t>
  </si>
  <si>
    <t xml:space="preserve">rkapoor@kapoorfamilyfdn.org</t>
  </si>
  <si>
    <t xml:space="preserve">(713) 555-9922</t>
  </si>
  <si>
    <t xml:space="preserve">02/28/2020</t>
  </si>
  <si>
    <t xml:space="preserve">FY2025</t>
  </si>
  <si>
    <t xml:space="preserve">FY2029</t>
  </si>
  <si>
    <t xml:space="preserve">2 of 5</t>
  </si>
  <si>
    <t xml:space="preserve">Kapoor Family DAF - Goldman Sachs</t>
  </si>
  <si>
    <t xml:space="preserve">Quarterly impact report delivery</t>
  </si>
  <si>
    <t xml:space="preserve">Houston-based. Strong alignment with STEM pipeline. Want to see expansion to Texas.</t>
  </si>
  <si>
    <t xml:space="preserve">F-026</t>
  </si>
  <si>
    <t xml:space="preserve">Franklin &amp; Anne Beaumont</t>
  </si>
  <si>
    <t xml:space="preserve">Beaumont Group</t>
  </si>
  <si>
    <t xml:space="preserve">fbeaumont@beaumontgroup.com</t>
  </si>
  <si>
    <t xml:space="preserve">(214) 555-2288</t>
  </si>
  <si>
    <t xml:space="preserve">07/01/2021</t>
  </si>
  <si>
    <t xml:space="preserve">General Scholarship</t>
  </si>
  <si>
    <t xml:space="preserve">01/15/2026</t>
  </si>
  <si>
    <t xml:space="preserve">Annual renewal ask</t>
  </si>
  <si>
    <t xml:space="preserve">09/01/2026</t>
  </si>
  <si>
    <t xml:space="preserve">Dallas-based. Reliable renewals. Potential for multi-year commitment.</t>
  </si>
  <si>
    <t xml:space="preserve">F-027</t>
  </si>
  <si>
    <t xml:space="preserve">Nadia El-Amin</t>
  </si>
  <si>
    <t xml:space="preserve">El-Amin Consulting Group</t>
  </si>
  <si>
    <t xml:space="preserve">nelamin@elamingroup.com</t>
  </si>
  <si>
    <t xml:space="preserve">(202) 555-6655</t>
  </si>
  <si>
    <t xml:space="preserve">10/01/2023</t>
  </si>
  <si>
    <t xml:space="preserve">Cultivation lunch</t>
  </si>
  <si>
    <t xml:space="preserve">DC-based consultant. Growing engagement. Connected to policy networks.</t>
  </si>
  <si>
    <t xml:space="preserve">F-028</t>
  </si>
  <si>
    <t xml:space="preserve">George &amp; Linda Stratton</t>
  </si>
  <si>
    <t xml:space="preserve">Stratton Industries</t>
  </si>
  <si>
    <t xml:space="preserve">gstratton@strattonindustries.com</t>
  </si>
  <si>
    <t xml:space="preserve">(704) 555-1122</t>
  </si>
  <si>
    <t xml:space="preserve">02/01/2026</t>
  </si>
  <si>
    <t xml:space="preserve">Request meeting through Thornton connection</t>
  </si>
  <si>
    <t xml:space="preserve">Charlotte manufacturing. Peer connection through William Thornton. Philanthropic history in education.</t>
  </si>
  <si>
    <t xml:space="preserve">F-029</t>
  </si>
  <si>
    <t xml:space="preserve">Isabelle Fontaine</t>
  </si>
  <si>
    <t xml:space="preserve">Fontaine Arts &amp; Education Trust</t>
  </si>
  <si>
    <t xml:space="preserve">ifontaine@fontainetrust.org</t>
  </si>
  <si>
    <t xml:space="preserve">(415) 555-5567</t>
  </si>
  <si>
    <t xml:space="preserve">Arts + STEM Integration</t>
  </si>
  <si>
    <t xml:space="preserve">03/25/2026</t>
  </si>
  <si>
    <t xml:space="preserve">Submit LOI for arts-STEM integration grant</t>
  </si>
  <si>
    <t xml:space="preserve">SF-based trust focused on arts and education. Met at conference. Very aligned with new arts-STEM program.</t>
  </si>
  <si>
    <t xml:space="preserve">F-030</t>
  </si>
  <si>
    <t xml:space="preserve">Marcus &amp; Tanya Robinson</t>
  </si>
  <si>
    <t xml:space="preserve">Robinson Legacy Fund</t>
  </si>
  <si>
    <t xml:space="preserve">mrobinson@robinsonlegacy.org</t>
  </si>
  <si>
    <t xml:space="preserve">(404) 555-8890</t>
  </si>
  <si>
    <t xml:space="preserve">Add to annual gala invite list</t>
  </si>
  <si>
    <t xml:space="preserve">Atlanta philanthropists. Education equity focus. Identified through Hargrove network.</t>
  </si>
  <si>
    <t xml:space="preserve">F-031</t>
  </si>
  <si>
    <t xml:space="preserve">Dr. Angela Vasquez-Torres</t>
  </si>
  <si>
    <t xml:space="preserve">Vasquez-Torres Medical Foundation</t>
  </si>
  <si>
    <t xml:space="preserve">avasquez@vtmedfoundation.org</t>
  </si>
  <si>
    <t xml:space="preserve">(305) 555-7712</t>
  </si>
  <si>
    <t xml:space="preserve">Health Sciences Scholarship</t>
  </si>
  <si>
    <t xml:space="preserve">03/30/2026</t>
  </si>
  <si>
    <t xml:space="preserve">Follow up after board review</t>
  </si>
  <si>
    <t xml:space="preserve">06/15/2026</t>
  </si>
  <si>
    <t xml:space="preserve">$150K proposal for health sciences scholarships. Miami-based. Board meets in June.</t>
  </si>
  <si>
    <t xml:space="preserve">F-032</t>
  </si>
  <si>
    <t xml:space="preserve">Arthur &amp; Elaine Worthington</t>
  </si>
  <si>
    <t xml:space="preserve">Worthington Trust</t>
  </si>
  <si>
    <t xml:space="preserve">aworthington@worthingtontrust.com</t>
  </si>
  <si>
    <t xml:space="preserve">(860) 555-3344</t>
  </si>
  <si>
    <t xml:space="preserve">Endowment</t>
  </si>
  <si>
    <t xml:space="preserve">Schedule campus visit</t>
  </si>
  <si>
    <t xml:space="preserve">Connecticut old money. Endowment-focused giving. Warm intro from Dubois.</t>
  </si>
  <si>
    <t xml:space="preserve">F-033</t>
  </si>
  <si>
    <t xml:space="preserve">Carmen Delgado-Ruiz</t>
  </si>
  <si>
    <t xml:space="preserve">Delgado Enterprises</t>
  </si>
  <si>
    <t xml:space="preserve">cdelgado@delgadoenterprises.com</t>
  </si>
  <si>
    <t xml:space="preserve">(210) 555-4411</t>
  </si>
  <si>
    <t xml:space="preserve">Schedule coffee meeting</t>
  </si>
  <si>
    <t xml:space="preserve">San Antonio-based. Initial gift at holiday event. Tech company founder. STEM aligned.</t>
  </si>
  <si>
    <t xml:space="preserve">F-034</t>
  </si>
  <si>
    <t xml:space="preserve">Howard &amp; Jean Prescott</t>
  </si>
  <si>
    <t xml:space="preserve">Prescott Foundation</t>
  </si>
  <si>
    <t xml:space="preserve">hprescott@prescottfdn.org</t>
  </si>
  <si>
    <t xml:space="preserve">(203) 555-6677</t>
  </si>
  <si>
    <t xml:space="preserve">03/01/2016</t>
  </si>
  <si>
    <t xml:space="preserve">Prescott DAF - Northern Trust</t>
  </si>
  <si>
    <t xml:space="preserve">11/01/2025</t>
  </si>
  <si>
    <t xml:space="preserve">ED personal outreach call</t>
  </si>
  <si>
    <t xml:space="preserve">Declined from $120K to $50K in FY2025, then lapsed. Former advisory council. Personal call from ED needed.</t>
  </si>
  <si>
    <t xml:space="preserve">F-035</t>
  </si>
  <si>
    <t xml:space="preserve">Tomoko Nakamura</t>
  </si>
  <si>
    <t xml:space="preserve">Nakamura Design Studio</t>
  </si>
  <si>
    <t xml:space="preserve">tnakamura@nakamuradesign.com</t>
  </si>
  <si>
    <t xml:space="preserve">(503) 555-2233</t>
  </si>
  <si>
    <t xml:space="preserve">08/01/2022</t>
  </si>
  <si>
    <t xml:space="preserve">Send personalized project update</t>
  </si>
  <si>
    <t xml:space="preserve">Portland designer. Gave 3 years. No response to renewal. Try project-specific appeal.</t>
  </si>
  <si>
    <t xml:space="preserve">F-036</t>
  </si>
  <si>
    <t xml:space="preserve">Robert &amp; Christine Andersen</t>
  </si>
  <si>
    <t xml:space="preserve">Andersen Family Fund</t>
  </si>
  <si>
    <t xml:space="preserve">randersen@andersenfund.org</t>
  </si>
  <si>
    <t xml:space="preserve">(952) 555-8811</t>
  </si>
  <si>
    <t xml:space="preserve">05/15/2019</t>
  </si>
  <si>
    <t xml:space="preserve">Andersen DAF - Schwab</t>
  </si>
  <si>
    <t xml:space="preserve">Pell-Eligible Scholarships</t>
  </si>
  <si>
    <t xml:space="preserve">10/20/2025</t>
  </si>
  <si>
    <t xml:space="preserve">Handwritten note from scholarship recipient</t>
  </si>
  <si>
    <t xml:space="preserve">Minneapolis family. Cared about Pell students. Missed FY2025. Try scholarship recipient story.</t>
  </si>
  <si>
    <t xml:space="preserve">F-037</t>
  </si>
  <si>
    <t xml:space="preserve">Martin &amp; Louise Kessler</t>
  </si>
  <si>
    <t xml:space="preserve">Kessler Group</t>
  </si>
  <si>
    <t xml:space="preserve">mkessler@kesslergroup.com</t>
  </si>
  <si>
    <t xml:space="preserve">(212) 555-0099</t>
  </si>
  <si>
    <t xml:space="preserve">06/01/2025</t>
  </si>
  <si>
    <t xml:space="preserve">Revisit in 2027</t>
  </si>
  <si>
    <t xml:space="preserve">01/15/2027</t>
  </si>
  <si>
    <t xml:space="preserve">Declined. Company restructuring. Said to revisit in 2 years.</t>
  </si>
  <si>
    <t xml:space="preserve">F-038</t>
  </si>
  <si>
    <t xml:space="preserve">Diane Zhao</t>
  </si>
  <si>
    <t xml:space="preserve">Zhao Capital Management</t>
  </si>
  <si>
    <t xml:space="preserve">dzhao@zhaocapital.com</t>
  </si>
  <si>
    <t xml:space="preserve">(646) 555-3388</t>
  </si>
  <si>
    <t xml:space="preserve">08/15/2025</t>
  </si>
  <si>
    <t xml:space="preserve">Add to newsletter; passive cultivation</t>
  </si>
  <si>
    <t xml:space="preserve">08/15/2026</t>
  </si>
  <si>
    <t xml:space="preserve">Politely declined. Prefers arts funding. Keep on radar for arts-STEM if program launches.</t>
  </si>
  <si>
    <t xml:space="preserve">F-039</t>
  </si>
  <si>
    <t xml:space="preserve">Jonathan &amp; Claire Harrington</t>
  </si>
  <si>
    <t xml:space="preserve">Harrington Charitable Trust</t>
  </si>
  <si>
    <t xml:space="preserve">jharrington@harringtontrust.org</t>
  </si>
  <si>
    <t xml:space="preserve">(617) 555-8834</t>
  </si>
  <si>
    <t xml:space="preserve">05/20/2018</t>
  </si>
  <si>
    <t xml:space="preserve">Harrington DAF - Fidelity</t>
  </si>
  <si>
    <t xml:space="preserve">First-Generation Students</t>
  </si>
  <si>
    <t xml:space="preserve">Annual pledge check-in</t>
  </si>
  <si>
    <t xml:space="preserve">05/20/2026</t>
  </si>
  <si>
    <t xml:space="preserve">Boston-based. Advisory council. Strong advocates. Host annual donor dinner.</t>
  </si>
  <si>
    <t xml:space="preserve">F-040</t>
  </si>
  <si>
    <t xml:space="preserve">Lena Volkov</t>
  </si>
  <si>
    <t xml:space="preserve">Volkov Tech Foundation</t>
  </si>
  <si>
    <t xml:space="preserve">lvolkov@volkovtech.org</t>
  </si>
  <si>
    <t xml:space="preserve">(408) 555-1199</t>
  </si>
  <si>
    <t xml:space="preserve">01/15/2023</t>
  </si>
  <si>
    <t xml:space="preserve">Share program outcomes report</t>
  </si>
  <si>
    <t xml:space="preserve">Silicon Valley tech exec. Doubling down on STEM. Potential for corporate partnership.</t>
  </si>
  <si>
    <t xml:space="preserve">F-041</t>
  </si>
  <si>
    <t xml:space="preserve">Oscar &amp; Valentina Cruz</t>
  </si>
  <si>
    <t xml:space="preserve">Cruz Community Fund</t>
  </si>
  <si>
    <t xml:space="preserve">ocruz@cruzfund.org</t>
  </si>
  <si>
    <t xml:space="preserve">(213) 555-7766</t>
  </si>
  <si>
    <t xml:space="preserve">08/01/2020</t>
  </si>
  <si>
    <t xml:space="preserve">Cruz DAF - Schwab</t>
  </si>
  <si>
    <t xml:space="preserve">Invite to rural site visit</t>
  </si>
  <si>
    <t xml:space="preserve">LA-based. Consistent growth. Passionate about rural access.</t>
  </si>
  <si>
    <t xml:space="preserve">F-042</t>
  </si>
  <si>
    <t xml:space="preserve">Sebastian Reeves</t>
  </si>
  <si>
    <t xml:space="preserve">Reeves Holdings International</t>
  </si>
  <si>
    <t xml:space="preserve">sreeves@reevesholdings.com</t>
  </si>
  <si>
    <t xml:space="preserve">(305) 555-4488</t>
  </si>
  <si>
    <t xml:space="preserve">09/01/2024</t>
  </si>
  <si>
    <t xml:space="preserve">Discuss multi-year partnership</t>
  </si>
  <si>
    <t xml:space="preserve">Miami-based. International holdings. Second gift expected Q2.</t>
  </si>
  <si>
    <t xml:space="preserve">F-043</t>
  </si>
  <si>
    <t xml:space="preserve">Miriam Goldstein-Levy</t>
  </si>
  <si>
    <t xml:space="preserve">Goldstein-Levy Philanthropic Fund</t>
  </si>
  <si>
    <t xml:space="preserve">mgoldstein@glfund.org</t>
  </si>
  <si>
    <t xml:space="preserve">(212) 555-5544</t>
  </si>
  <si>
    <t xml:space="preserve">11/15/2017</t>
  </si>
  <si>
    <t xml:space="preserve">Goldstein-Levy DAF - Goldman Sachs</t>
  </si>
  <si>
    <t xml:space="preserve">Scholarship Endowment</t>
  </si>
  <si>
    <t xml:space="preserve">Endowment naming discussion</t>
  </si>
  <si>
    <t xml:space="preserve">NYC philanthropist. Interested in naming a scholarship endowment. High-touch stewardship needed.</t>
  </si>
  <si>
    <t xml:space="preserve">F-044</t>
  </si>
  <si>
    <t xml:space="preserve">Derek &amp; Monique Baptiste</t>
  </si>
  <si>
    <t xml:space="preserve">Baptiste Family Foundation</t>
  </si>
  <si>
    <t xml:space="preserve">dbaptiste@baptistefdn.org</t>
  </si>
  <si>
    <t xml:space="preserve">(786) 555-3300</t>
  </si>
  <si>
    <t xml:space="preserve">03/15/2022</t>
  </si>
  <si>
    <t xml:space="preserve">Pell-Eligible Students</t>
  </si>
  <si>
    <t xml:space="preserve">Connect with Novak re: Pell focus</t>
  </si>
  <si>
    <t xml:space="preserve">Miami. Haitian-American family. Strong Pell focus. Could partner with Novak Foundation.</t>
  </si>
  <si>
    <t xml:space="preserve">F-045</t>
  </si>
  <si>
    <t xml:space="preserve">Elizabeth Hawthorne</t>
  </si>
  <si>
    <t xml:space="preserve">Hawthorne Media Corp</t>
  </si>
  <si>
    <t xml:space="preserve">ehawthorne@hawthornecorp.com</t>
  </si>
  <si>
    <t xml:space="preserve">(310) 555-2277</t>
  </si>
  <si>
    <t xml:space="preserve">06/01/2024</t>
  </si>
  <si>
    <t xml:space="preserve">Invite to Q2 donor event</t>
  </si>
  <si>
    <t xml:space="preserve">Media exec. Initial gift at gala. High capacity but early stage.</t>
  </si>
  <si>
    <t xml:space="preserve">F-046</t>
  </si>
  <si>
    <t xml:space="preserve">Andrew &amp; Susan Pemberton</t>
  </si>
  <si>
    <t xml:space="preserve">Pemberton Investments</t>
  </si>
  <si>
    <t xml:space="preserve">apemberton@pembertoninvest.com</t>
  </si>
  <si>
    <t xml:space="preserve">(704) 555-9977</t>
  </si>
  <si>
    <t xml:space="preserve">Cold outreach via annual appeal</t>
  </si>
  <si>
    <t xml:space="preserve">Charlotte PE firm. Education giving in other contexts. Peer-screened.</t>
  </si>
  <si>
    <t xml:space="preserve">F-047</t>
  </si>
  <si>
    <t xml:space="preserve">Maya Singh-Patel</t>
  </si>
  <si>
    <t xml:space="preserve">Singh-Patel Ventures</t>
  </si>
  <si>
    <t xml:space="preserve">msingh@singhpatelvc.com</t>
  </si>
  <si>
    <t xml:space="preserve">(415) 555-6688</t>
  </si>
  <si>
    <t xml:space="preserve">Coffee meeting to learn interests</t>
  </si>
  <si>
    <t xml:space="preserve">SF VC partner. Initial gift at winter event. STEM aligned. Early cultivation.</t>
  </si>
  <si>
    <t xml:space="preserve">F-048</t>
  </si>
  <si>
    <t xml:space="preserve">Raymond &amp; Barbara O'Sullivan</t>
  </si>
  <si>
    <t xml:space="preserve">O'Sullivan Family Foundation</t>
  </si>
  <si>
    <t xml:space="preserve">rosullivan@osullivanfdn.org</t>
  </si>
  <si>
    <t xml:space="preserve">(312) 555-5500</t>
  </si>
  <si>
    <t xml:space="preserve">Await response; follow up June</t>
  </si>
  <si>
    <t xml:space="preserve">06/10/2026</t>
  </si>
  <si>
    <t xml:space="preserve">$250K proposal for general scholarship fund. Chicago foundation. Board meets quarterly in June.</t>
  </si>
  <si>
    <t xml:space="preserve">F-049</t>
  </si>
  <si>
    <t xml:space="preserve">Ingrid Johansson-Berg</t>
  </si>
  <si>
    <t xml:space="preserve">Nordic Education Initiative</t>
  </si>
  <si>
    <t xml:space="preserve">ijohansson@nordicedu.org</t>
  </si>
  <si>
    <t xml:space="preserve">(612) 555-7700</t>
  </si>
  <si>
    <t xml:space="preserve">International Student Support</t>
  </si>
  <si>
    <t xml:space="preserve">Schedule campus tour for board</t>
  </si>
  <si>
    <t xml:space="preserve">Minneapolis-based Nordic foundation. Focus on international education exchange. New prospect.</t>
  </si>
  <si>
    <t xml:space="preserve">F-050</t>
  </si>
  <si>
    <t xml:space="preserve">Terrence &amp; Alma Washington-Greene</t>
  </si>
  <si>
    <t xml:space="preserve">Washington-Greene Family Trust</t>
  </si>
  <si>
    <t xml:space="preserve">twashington@wgfamilytrust.org</t>
  </si>
  <si>
    <t xml:space="preserve">(202) 555-1144</t>
  </si>
  <si>
    <t xml:space="preserve">Education Equity</t>
  </si>
  <si>
    <t xml:space="preserve">11/15/2025</t>
  </si>
  <si>
    <t xml:space="preserve">Invite to DC donor circle</t>
  </si>
  <si>
    <t xml:space="preserve">DC-based. Initial gift at fall event. Known philanthropists in education equity.</t>
  </si>
  <si>
    <t xml:space="preserve">F-051</t>
  </si>
  <si>
    <t xml:space="preserve">Steven &amp; Marie Lindqvist</t>
  </si>
  <si>
    <t xml:space="preserve">Lindqvist Group</t>
  </si>
  <si>
    <t xml:space="preserve">slindqvist@lindqvistgroup.com</t>
  </si>
  <si>
    <t xml:space="preserve">(206) 555-8800</t>
  </si>
  <si>
    <t xml:space="preserve">02/01/2019</t>
  </si>
  <si>
    <t xml:space="preserve">10/15/2025</t>
  </si>
  <si>
    <t xml:space="preserve">Personal note from ED with program update</t>
  </si>
  <si>
    <t xml:space="preserve">Seattle. Declined from $40K to $25K then lapsed. May be tied to company financials.</t>
  </si>
  <si>
    <t xml:space="preserve">F-052</t>
  </si>
  <si>
    <t xml:space="preserve">Claudia Ferreira-Santos</t>
  </si>
  <si>
    <t xml:space="preserve">Ferreira-Santos Associates</t>
  </si>
  <si>
    <t xml:space="preserve">cferreira@fsassociates.com</t>
  </si>
  <si>
    <t xml:space="preserve">(617) 555-9933</t>
  </si>
  <si>
    <t xml:space="preserve">09/01/2025</t>
  </si>
  <si>
    <t xml:space="preserve">Try LinkedIn outreach</t>
  </si>
  <si>
    <t xml:space="preserve">Boston consulting firm. 3-year donor. No response to emails. Try alternative channels.</t>
  </si>
  <si>
    <t xml:space="preserve">F-053</t>
  </si>
  <si>
    <t xml:space="preserve">Philip &amp; Janet Rothschild-Murray</t>
  </si>
  <si>
    <t xml:space="preserve">Rothschild-Murray Trust</t>
  </si>
  <si>
    <t xml:space="preserve">prothschild@rmtrust.org</t>
  </si>
  <si>
    <t xml:space="preserve">(860) 555-2211</t>
  </si>
  <si>
    <t xml:space="preserve">07/01/2025</t>
  </si>
  <si>
    <t xml:space="preserve">Monitor; possible re-approach via Worthington</t>
  </si>
  <si>
    <t xml:space="preserve">Connecticut. Declined due to existing education commitments. Revisit via Worthington intro.</t>
  </si>
  <si>
    <t xml:space="preserve">F-054</t>
  </si>
  <si>
    <t xml:space="preserve">Grace Okafor-Williams</t>
  </si>
  <si>
    <t xml:space="preserve">Okafor-Williams Group</t>
  </si>
  <si>
    <t xml:space="preserve">gokafor@owgroup.com</t>
  </si>
  <si>
    <t xml:space="preserve">(404) 555-1177</t>
  </si>
  <si>
    <t xml:space="preserve">05/15/2025</t>
  </si>
  <si>
    <t xml:space="preserve">Revisit if arts-STEM program launches</t>
  </si>
  <si>
    <t xml:space="preserve">Atlanta. Prefers arts-focused philanthropy. Could revisit if arts-STEM integration launches.</t>
  </si>
  <si>
    <t xml:space="preserve">F-055</t>
  </si>
  <si>
    <t xml:space="preserve">Dr. Samuel Adeyemi</t>
  </si>
  <si>
    <t xml:space="preserve">Adeyemi Health Sciences Trust</t>
  </si>
  <si>
    <t xml:space="preserve">sadeyemi@adeyemitrust.org</t>
  </si>
  <si>
    <t xml:space="preserve">(713) 555-0011</t>
  </si>
  <si>
    <t xml:space="preserve">Health Sciences</t>
  </si>
  <si>
    <t xml:space="preserve">Request intro through Vasquez-Torres</t>
  </si>
  <si>
    <t xml:space="preserve">Houston physician-philanthropist. Health education focus. Connected to Vasquez-Torres network.</t>
  </si>
  <si>
    <t xml:space="preserve">F-056</t>
  </si>
  <si>
    <t xml:space="preserve">Jessica &amp; Ryan Calloway</t>
  </si>
  <si>
    <t xml:space="preserve">Calloway Ventures</t>
  </si>
  <si>
    <t xml:space="preserve">jcalloway@callowayvc.com</t>
  </si>
  <si>
    <t xml:space="preserve">(512) 555-2299</t>
  </si>
  <si>
    <t xml:space="preserve">Add to Austin donor event invite</t>
  </si>
  <si>
    <t xml:space="preserve">Austin VC firm. IPO exit 2025. No philanthropic history identified yet. Peer-screened.</t>
  </si>
  <si>
    <t xml:space="preserve">F-057</t>
  </si>
  <si>
    <t xml:space="preserve">Nadine Brosseau</t>
  </si>
  <si>
    <t xml:space="preserve">Brosseau Family Fund</t>
  </si>
  <si>
    <t xml:space="preserve">nbrosseau@brosseaufund.org</t>
  </si>
  <si>
    <t xml:space="preserve">(504) 555-6633</t>
  </si>
  <si>
    <t xml:space="preserve">Schedule intro lunch</t>
  </si>
  <si>
    <t xml:space="preserve">New Orleans family wealth. Education equity interest. Warm lead from Moreau.</t>
  </si>
  <si>
    <t xml:space="preserve">F-058</t>
  </si>
  <si>
    <t xml:space="preserve">Timothy &amp; Andrea Park-Saunders</t>
  </si>
  <si>
    <t xml:space="preserve">Park-Saunders Foundation</t>
  </si>
  <si>
    <t xml:space="preserve">tpark@parksaundersfdn.org</t>
  </si>
  <si>
    <t xml:space="preserve">(206) 555-8877</t>
  </si>
  <si>
    <t xml:space="preserve">Thank you call + site visit invite</t>
  </si>
  <si>
    <t xml:space="preserve">Seattle foundation. Initial gift at winter gala. Rural education aligned.</t>
  </si>
  <si>
    <t xml:space="preserve">F-059</t>
  </si>
  <si>
    <t xml:space="preserve">Cynthia Abrams-Klein</t>
  </si>
  <si>
    <t xml:space="preserve">Abrams-Klein Charitable Trust</t>
  </si>
  <si>
    <t xml:space="preserve">cabrams@akcharitable.org</t>
  </si>
  <si>
    <t xml:space="preserve">(212) 555-4400</t>
  </si>
  <si>
    <t xml:space="preserve">Follow up post-review in May</t>
  </si>
  <si>
    <t xml:space="preserve">$300K endowment proposal. NYC philanthropist. Multiple cultivation meetings completed. Strong alignment.</t>
  </si>
  <si>
    <t xml:space="preserve">F-060</t>
  </si>
  <si>
    <t xml:space="preserve">Marcus Jennings</t>
  </si>
  <si>
    <t xml:space="preserve">Jennings Capital Group</t>
  </si>
  <si>
    <t xml:space="preserve">mjennings@jenningscapital.com</t>
  </si>
  <si>
    <t xml:space="preserve">(704) 555-3355</t>
  </si>
  <si>
    <t xml:space="preserve">Peer screening complete; request intro via Stratton</t>
  </si>
  <si>
    <t xml:space="preserve">Charlotte finance. Peer-screened. Education history on other boards. Stratton connection.</t>
  </si>
  <si>
    <t xml:space="preserve">F-061</t>
  </si>
  <si>
    <t xml:space="preserve">Dr. Wei &amp; Jennifer Liu-Chang</t>
  </si>
  <si>
    <t xml:space="preserve">Liu-Chang Education Foundation</t>
  </si>
  <si>
    <t xml:space="preserve">wliu@liuchangfdn.org</t>
  </si>
  <si>
    <t xml:space="preserve">(650) 555-1177</t>
  </si>
  <si>
    <t xml:space="preserve">Submit LOI for STEM grant</t>
  </si>
  <si>
    <t xml:space="preserve">Palo Alto. Tech fortune. $25K initial gift. Foundation has $50M+ in assets. High potential.</t>
  </si>
  <si>
    <t xml:space="preserve">F-062</t>
  </si>
  <si>
    <t xml:space="preserve">Natasha Orlova-Petrov</t>
  </si>
  <si>
    <t xml:space="preserve">Orlova-Petrov Arts &amp; Sciences Fund</t>
  </si>
  <si>
    <t xml:space="preserve">norlova@opfund.org</t>
  </si>
  <si>
    <t xml:space="preserve">(312) 555-6622</t>
  </si>
  <si>
    <t xml:space="preserve">Arts-STEM Integration</t>
  </si>
  <si>
    <t xml:space="preserve">Explore arts-STEM alignment</t>
  </si>
  <si>
    <t xml:space="preserve">Chicago. Arts + sciences intersection. Could be perfect fit if arts-STEM program launches.</t>
  </si>
  <si>
    <t xml:space="preserve">F-063</t>
  </si>
  <si>
    <t xml:space="preserve">Brandon &amp; Tiffany Maxwell</t>
  </si>
  <si>
    <t xml:space="preserve">Maxwell Legacy Foundation</t>
  </si>
  <si>
    <t xml:space="preserve">bmaxwell@maxwelllegacy.org</t>
  </si>
  <si>
    <t xml:space="preserve">(404) 555-9944</t>
  </si>
  <si>
    <t xml:space="preserve">Campus visit + scholar meeting</t>
  </si>
  <si>
    <t xml:space="preserve">Atlanta. Both first-gen college. Deep personal connection to mission. $20K initial gift promising.</t>
  </si>
  <si>
    <t xml:space="preserve">F-064</t>
  </si>
  <si>
    <t xml:space="preserve">Eleanor Whitmore-Davis</t>
  </si>
  <si>
    <t xml:space="preserve">Whitmore-Davis Trust</t>
  </si>
  <si>
    <t xml:space="preserve">ewhitmore@wdtrust.org</t>
  </si>
  <si>
    <t xml:space="preserve">(860) 555-7788</t>
  </si>
  <si>
    <t xml:space="preserve">Unrestricted Endowment</t>
  </si>
  <si>
    <t xml:space="preserve">Board review in June</t>
  </si>
  <si>
    <t xml:space="preserve">$500K unrestricted endowment proposal. Connecticut. Worthington referral. Long cultivation cycle.</t>
  </si>
  <si>
    <t xml:space="preserve">F-065</t>
  </si>
  <si>
    <t xml:space="preserve">Roberto &amp; Ana Castillo-Vega</t>
  </si>
  <si>
    <t xml:space="preserve">Castillo-Vega Enterprises</t>
  </si>
  <si>
    <t xml:space="preserve">rcastillo@cventerprises.com</t>
  </si>
  <si>
    <t xml:space="preserve">(210) 555-5588</t>
  </si>
  <si>
    <t xml:space="preserve">Outreach at San Antonio business leaders event</t>
  </si>
  <si>
    <t xml:space="preserve">San Antonio manufacturing. Hispanic business leader. Education philanthropy unknown. Cold prospect.</t>
  </si>
  <si>
    <t xml:space="preserve">F-066</t>
  </si>
  <si>
    <t xml:space="preserve">Dr. Priscilla Oduya</t>
  </si>
  <si>
    <t xml:space="preserve">Oduya Global Education Fund</t>
  </si>
  <si>
    <t xml:space="preserve">poduya@oduyafund.org</t>
  </si>
  <si>
    <t xml:space="preserve">(202) 555-3366</t>
  </si>
  <si>
    <t xml:space="preserve">International Student Scholarships</t>
  </si>
  <si>
    <t xml:space="preserve">Explore international scholarship alignment</t>
  </si>
  <si>
    <t xml:space="preserve">DC-based global education fund. Focus on African diaspora students. New contact via conference.</t>
  </si>
  <si>
    <t xml:space="preserve">F-067</t>
  </si>
  <si>
    <t xml:space="preserve">Alan &amp; Deborah Sinclair</t>
  </si>
  <si>
    <t xml:space="preserve">Sinclair Timber Company</t>
  </si>
  <si>
    <t xml:space="preserve">asinclair@sinclairtimber.com</t>
  </si>
  <si>
    <t xml:space="preserve">(503) 555-1155</t>
  </si>
  <si>
    <t xml:space="preserve">Site visit to rural program in Oregon</t>
  </si>
  <si>
    <t xml:space="preserve">Portland timber company. Rural communities connection. $15K at winter event. Very aligned with rural program.</t>
  </si>
  <si>
    <t xml:space="preserve">F-068</t>
  </si>
  <si>
    <t xml:space="preserve">Vanessa &amp; Michael Torres-Rubin</t>
  </si>
  <si>
    <t xml:space="preserve">Torres-Rubin Family Fund</t>
  </si>
  <si>
    <t xml:space="preserve">vtorres@trfamilyfund.org</t>
  </si>
  <si>
    <t xml:space="preserve">(305) 555-8844</t>
  </si>
  <si>
    <t xml:space="preserve">Annual appeal mailing + gala invite</t>
  </si>
  <si>
    <t xml:space="preserve">Miami family fund. Identified through Baptiste network. Education giving elsewhere.</t>
  </si>
  <si>
    <t xml:space="preserve">F-069</t>
  </si>
  <si>
    <t xml:space="preserve">Christine Yamamoto</t>
  </si>
  <si>
    <t xml:space="preserve">Yamamoto Tech Ventures</t>
  </si>
  <si>
    <t xml:space="preserve">cyamamoto@yamatech.com</t>
  </si>
  <si>
    <t xml:space="preserve">(408) 555-3377</t>
  </si>
  <si>
    <t xml:space="preserve">Share STEM program outcomes deck</t>
  </si>
  <si>
    <t xml:space="preserve">San Jose. Tech exec. Initial gift online. Follow up with personal outreach.</t>
  </si>
  <si>
    <t xml:space="preserve">F-070</t>
  </si>
  <si>
    <t xml:space="preserve">Edward &amp; Margaret Blackstone</t>
  </si>
  <si>
    <t xml:space="preserve">Blackstone Heritage Foundation</t>
  </si>
  <si>
    <t xml:space="preserve">eblackstone@blackstonehf.org</t>
  </si>
  <si>
    <t xml:space="preserve">(617) 555-4422</t>
  </si>
  <si>
    <t xml:space="preserve">Await foundation decision in July</t>
  </si>
  <si>
    <t xml:space="preserve">07/01/2026</t>
  </si>
  <si>
    <t xml:space="preserve">$400K scholarship proposal. Boston heritage foundation. Slow-moving board. Dubois provided introduction.</t>
  </si>
  <si>
    <t xml:space="preserve">F-071</t>
  </si>
  <si>
    <t xml:space="preserve">Patricia Nguyen-Thompson</t>
  </si>
  <si>
    <t xml:space="preserve">Nguyen-Thompson Associates</t>
  </si>
  <si>
    <t xml:space="preserve">pnguyen@ntassociates.com</t>
  </si>
  <si>
    <t xml:space="preserve">(714) 555-9900</t>
  </si>
  <si>
    <t xml:space="preserve">Intro meeting scheduled</t>
  </si>
  <si>
    <t xml:space="preserve">04/22/2026</t>
  </si>
  <si>
    <t xml:space="preserve">Orange County consulting. Anh Nguyen (scholarship alum) works there. Organic connection.</t>
  </si>
  <si>
    <t xml:space="preserve">F-072</t>
  </si>
  <si>
    <t xml:space="preserve">Dmitri &amp; Svetlana Ivanov</t>
  </si>
  <si>
    <t xml:space="preserve">Ivanov Family Trust</t>
  </si>
  <si>
    <t xml:space="preserve">divanov@ivanovtrust.com</t>
  </si>
  <si>
    <t xml:space="preserve">(646) 555-7711</t>
  </si>
  <si>
    <t xml:space="preserve">NYC finance family. Wealth screening flagged. No known education philanthropy. Very early stage.</t>
  </si>
  <si>
    <t xml:space="preserve">F-073</t>
  </si>
  <si>
    <t xml:space="preserve">Monique St. Claire</t>
  </si>
  <si>
    <t xml:space="preserve">St. Claire Education Partners</t>
  </si>
  <si>
    <t xml:space="preserve">mstclaire@stclaireedu.com</t>
  </si>
  <si>
    <t xml:space="preserve">(504) 555-2244</t>
  </si>
  <si>
    <t xml:space="preserve">02/05/2026</t>
  </si>
  <si>
    <t xml:space="preserve">Coffee meeting in New Orleans</t>
  </si>
  <si>
    <t xml:space="preserve">NOLA education consulting firm. $10K at winter event. Mission-aligned business.</t>
  </si>
  <si>
    <t xml:space="preserve">F-074</t>
  </si>
  <si>
    <t xml:space="preserve">Daniel &amp; Rebecca Hoffman</t>
  </si>
  <si>
    <t xml:space="preserve">Hoffman Associates</t>
  </si>
  <si>
    <t xml:space="preserve">dhoffman@hoffmanassoc.com</t>
  </si>
  <si>
    <t xml:space="preserve">(312) 555-0044</t>
  </si>
  <si>
    <t xml:space="preserve">09/01/2023</t>
  </si>
  <si>
    <t xml:space="preserve">Upgrade ask at spring event</t>
  </si>
  <si>
    <t xml:space="preserve">Chicago consulting. Year 3. Slow but steady growth.</t>
  </si>
  <si>
    <t xml:space="preserve">F-075</t>
  </si>
  <si>
    <t xml:space="preserve">Lucia Mendoza-Garcia</t>
  </si>
  <si>
    <t xml:space="preserve">Mendoza-Garcia Foundation</t>
  </si>
  <si>
    <t xml:space="preserve">lmendoza@mgfoundation.org</t>
  </si>
  <si>
    <t xml:space="preserve">(213) 555-8833</t>
  </si>
  <si>
    <t xml:space="preserve">04/01/2021</t>
  </si>
  <si>
    <t xml:space="preserve">Mendoza-Garcia DAF - Schwab</t>
  </si>
  <si>
    <t xml:space="preserve">Propose multi-year commitment</t>
  </si>
  <si>
    <t xml:space="preserve">LA-based. First-gen focus. Consistent growth. Ready for multi-year conversation.</t>
  </si>
  <si>
    <t xml:space="preserve">F-076</t>
  </si>
  <si>
    <t xml:space="preserve">Warren &amp; Doris Carmichael</t>
  </si>
  <si>
    <t xml:space="preserve">Carmichael Trust</t>
  </si>
  <si>
    <t xml:space="preserve">wcarmichael@carmichaeltrust.org</t>
  </si>
  <si>
    <t xml:space="preserve">(847) 555-6699</t>
  </si>
  <si>
    <t xml:space="preserve">01/15/2018</t>
  </si>
  <si>
    <t xml:space="preserve">Carmichael DAF - Vanguard</t>
  </si>
  <si>
    <t xml:space="preserve">ED personal call + handwritten note</t>
  </si>
  <si>
    <t xml:space="preserve">Evanston IL. Declined sharply then lapsed. Former advisory council. Health issues may be factor; handle sensitively.</t>
  </si>
  <si>
    <t xml:space="preserve">F-077</t>
  </si>
  <si>
    <t xml:space="preserve">Jacqueline DuPont-Williams</t>
  </si>
  <si>
    <t xml:space="preserve">DuPont-Williams Group</t>
  </si>
  <si>
    <t xml:space="preserve">jdupont@dpwgroup.com</t>
  </si>
  <si>
    <t xml:space="preserve">(202) 555-7744</t>
  </si>
  <si>
    <t xml:space="preserve">06/01/2022</t>
  </si>
  <si>
    <t xml:space="preserve">LinkedIn message + personal note</t>
  </si>
  <si>
    <t xml:space="preserve">DC consulting. 3-year donor. Company may have downsized. Try personal channel.</t>
  </si>
  <si>
    <t xml:space="preserve">F-078</t>
  </si>
  <si>
    <t xml:space="preserve">Gordon &amp; Lillian Ashworth</t>
  </si>
  <si>
    <t xml:space="preserve">Ashworth Family Trust</t>
  </si>
  <si>
    <t xml:space="preserve">gashworth@ashworthtrust.org</t>
  </si>
  <si>
    <t xml:space="preserve">(203) 555-0022</t>
  </si>
  <si>
    <t xml:space="preserve">04/01/2025</t>
  </si>
  <si>
    <t xml:space="preserve">Long-term monitor; possible estate gift prospect</t>
  </si>
  <si>
    <t xml:space="preserve">01/01/2027</t>
  </si>
  <si>
    <t xml:space="preserve">Greenwich CT. Declined politely. Mentioned us in estate planning conversations per advisor. Very long-term.</t>
  </si>
  <si>
    <t xml:space="preserve">F-079</t>
  </si>
  <si>
    <t xml:space="preserve">Reginald Barnes</t>
  </si>
  <si>
    <t xml:space="preserve">Barnes Logistics Corp</t>
  </si>
  <si>
    <t xml:space="preserve">rbarnes@barneslogistics.com</t>
  </si>
  <si>
    <t xml:space="preserve">(773) 555-5566</t>
  </si>
  <si>
    <t xml:space="preserve">07/15/2025</t>
  </si>
  <si>
    <t xml:space="preserve">Annual newsletter only</t>
  </si>
  <si>
    <t xml:space="preserve">07/15/2026</t>
  </si>
  <si>
    <t xml:space="preserve">Chicago logistics. Declined. Budget constraints. Keep on newsletter.</t>
  </si>
  <si>
    <t xml:space="preserve">F-080</t>
  </si>
  <si>
    <t xml:space="preserve">Katherine &amp; Paul Remington-Hall</t>
  </si>
  <si>
    <t xml:space="preserve">Remington-Hall Charitable Fund</t>
  </si>
  <si>
    <t xml:space="preserve">kremington@rhfund.org</t>
  </si>
  <si>
    <t xml:space="preserve">(860) 555-1188</t>
  </si>
  <si>
    <t xml:space="preserve">05/01/2025</t>
  </si>
  <si>
    <t xml:space="preserve">Revisit when arts-STEM launches</t>
  </si>
  <si>
    <t xml:space="preserve">Connecticut. Arts-focused. Declined because no arts component. Could revisit with arts-STEM program.</t>
  </si>
  <si>
    <t xml:space="preserve">Prepare cultivation strategy</t>
  </si>
  <si>
    <t xml:space="preserve">Schedule discovery meeting</t>
  </si>
  <si>
    <t xml:space="preserve">Send introductory materials</t>
  </si>
  <si>
    <t xml:space="preserve">Research capacity and interests</t>
  </si>
  <si>
    <t xml:space="preserve">Draft stewardship plan</t>
  </si>
  <si>
    <t xml:space="preserve">Initial outreach call</t>
  </si>
  <si>
    <t xml:space="preserve">Review giving history</t>
  </si>
  <si>
    <t xml:space="preserve">Follow up on event attendance</t>
  </si>
  <si>
    <t xml:space="preserve">Funder Pipeline Summary</t>
  </si>
  <si>
    <t xml:space="preserve">By Status</t>
  </si>
  <si>
    <t xml:space="preserve">Count</t>
  </si>
  <si>
    <t xml:space="preserve">Total Lifetime Giving</t>
  </si>
  <si>
    <t xml:space="preserve">Total</t>
  </si>
  <si>
    <t xml:space="preserve">By Stage</t>
  </si>
  <si>
    <t xml:space="preserve">FY2026 YTD Giving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</si>
</sst>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E8E8E8"/>
        <bgColor rgb="FFE0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509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EC"/>
        </patternFill>
      </fill>
    </dxf>
    <dxf>
      <fill>
        <patternFill>
          <bgColor rgb="FFE0E0E0"/>
        </patternFill>
      </fill>
    </dxf>
    <dxf>
      <fill>
        <patternFill>
          <bgColor rgb="FFE3F2FD"/>
        </patternFill>
      </fill>
    </dxf>
    <dxf>
      <fill>
        <patternFill>
          <bgColor rgb="FFE8F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E0E0E0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36"/>
    <col collapsed="false" customWidth="true" hidden="false" outlineLevel="0" max="8" min="8" style="1" width="18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5" min="13" style="1" width="14"/>
    <col collapsed="false" customWidth="true" hidden="false" outlineLevel="0" max="17" min="16" style="1" width="16"/>
    <col collapsed="false" customWidth="true" hidden="false" outlineLevel="0" max="19" min="18" style="1" width="14"/>
    <col collapsed="false" customWidth="true" hidden="false" outlineLevel="0" max="21" min="20" style="1" width="13"/>
    <col collapsed="false" customWidth="true" hidden="false" outlineLevel="0" max="23" min="22" style="1" width="16"/>
    <col collapsed="false" customWidth="true" hidden="false" outlineLevel="0" max="24" min="24" style="1" width="40"/>
    <col collapsed="false" customWidth="true" hidden="false" outlineLevel="0" max="25" min="25" style="1" width="28"/>
    <col collapsed="false" customWidth="true" hidden="false" outlineLevel="0" max="26" min="26" style="1" width="16"/>
    <col collapsed="false" customWidth="true" hidden="false" outlineLevel="0" max="27" min="27" style="1" width="14"/>
    <col collapsed="false" customWidth="true" hidden="false" outlineLevel="0" max="28" min="28" style="1" width="18"/>
    <col collapsed="false" customWidth="true" hidden="false" outlineLevel="0" max="29" min="29" style="1" width="40"/>
    <col collapsed="false" customWidth="true" hidden="false" outlineLevel="0" max="30" min="30" style="1" width="14"/>
    <col collapsed="false" customWidth="true" hidden="false" outlineLevel="0" max="31" min="31" style="1" width="12"/>
    <col collapsed="false" customWidth="true" hidden="false" outlineLevel="0" max="33" min="32" style="1" width="14"/>
    <col collapsed="false" customWidth="true" hidden="false" outlineLevel="0" max="34" min="34" style="1" width="16"/>
    <col collapsed="false" customWidth="true" hidden="false" outlineLevel="0" max="35" min="35" style="1" width="14"/>
    <col collapsed="false" customWidth="true" hidden="false" outlineLevel="0" max="36" min="36" style="1" width="12"/>
    <col collapsed="false" customWidth="true" hidden="false" outlineLevel="0" max="37" min="37" style="1" width="60"/>
    <col collapsed="false" customWidth="true" hidden="false" outlineLevel="0" max="38" min="38" style="0" width="15"/>
  </cols>
  <sheetData>
    <row r="1" customFormat="false" ht="5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23.25" hidden="false" customHeight="true" outlineLevel="0" collapsed="false">
      <c r="A2" s="3" t="s">
        <v>38</v>
      </c>
      <c r="B2" s="4" t="s">
        <v>39</v>
      </c>
      <c r="C2" s="4" t="s">
        <v>40</v>
      </c>
      <c r="D2" s="3" t="s">
        <v>41</v>
      </c>
      <c r="E2" s="3" t="s">
        <v>42</v>
      </c>
      <c r="F2" s="3" t="s">
        <v>43</v>
      </c>
      <c r="G2" s="4" t="s">
        <v>44</v>
      </c>
      <c r="H2" s="4" t="s">
        <v>45</v>
      </c>
      <c r="I2" s="4" t="s">
        <v>46</v>
      </c>
      <c r="J2" s="3" t="s">
        <v>47</v>
      </c>
      <c r="K2" s="3" t="s">
        <v>48</v>
      </c>
      <c r="L2" s="5" t="n">
        <v>100000</v>
      </c>
      <c r="M2" s="5" t="n">
        <v>350000</v>
      </c>
      <c r="N2" s="5" t="n">
        <v>400000</v>
      </c>
      <c r="O2" s="5" t="n">
        <v>450000</v>
      </c>
      <c r="P2" s="5" t="n">
        <v>500000</v>
      </c>
      <c r="Q2" s="5" t="n">
        <f aca="false">SUM(M2:P2)</f>
        <v>1700000</v>
      </c>
      <c r="R2" s="3" t="s">
        <v>49</v>
      </c>
      <c r="S2" s="5" t="n">
        <v>2500000</v>
      </c>
      <c r="T2" s="4" t="s">
        <v>50</v>
      </c>
      <c r="U2" s="4" t="s">
        <v>51</v>
      </c>
      <c r="V2" s="3" t="s">
        <v>52</v>
      </c>
      <c r="W2" s="5" t="n">
        <v>450000</v>
      </c>
      <c r="X2" s="4" t="s">
        <v>53</v>
      </c>
      <c r="Y2" s="4" t="s">
        <v>54</v>
      </c>
      <c r="Z2" s="4" t="s">
        <v>55</v>
      </c>
      <c r="AA2" s="3" t="s">
        <v>56</v>
      </c>
      <c r="AB2" s="3" t="s">
        <v>57</v>
      </c>
      <c r="AC2" s="4" t="s">
        <v>58</v>
      </c>
      <c r="AD2" s="3" t="s">
        <v>59</v>
      </c>
      <c r="AE2" s="3" t="s">
        <v>60</v>
      </c>
      <c r="AF2" s="3" t="s">
        <v>60</v>
      </c>
      <c r="AG2" s="4" t="n">
        <v>3</v>
      </c>
      <c r="AH2" s="4" t="s">
        <v>61</v>
      </c>
      <c r="AI2" s="4" t="s">
        <v>62</v>
      </c>
      <c r="AJ2" s="3" t="n">
        <v>10</v>
      </c>
      <c r="AK2" s="6" t="s">
        <v>63</v>
      </c>
      <c r="AL2" s="0" t="s">
        <v>64</v>
      </c>
    </row>
    <row r="3" customFormat="false" ht="15" hidden="false" customHeight="true" outlineLevel="0" collapsed="false">
      <c r="A3" s="3" t="s">
        <v>65</v>
      </c>
      <c r="B3" s="4" t="s">
        <v>66</v>
      </c>
      <c r="C3" s="4" t="s">
        <v>67</v>
      </c>
      <c r="D3" s="3" t="s">
        <v>68</v>
      </c>
      <c r="E3" s="3" t="s">
        <v>42</v>
      </c>
      <c r="F3" s="3" t="s">
        <v>43</v>
      </c>
      <c r="G3" s="4" t="s">
        <v>69</v>
      </c>
      <c r="H3" s="4" t="s">
        <v>70</v>
      </c>
      <c r="I3" s="4" t="s">
        <v>46</v>
      </c>
      <c r="J3" s="3" t="s">
        <v>71</v>
      </c>
      <c r="K3" s="3" t="s">
        <v>72</v>
      </c>
      <c r="L3" s="5" t="n">
        <v>50000</v>
      </c>
      <c r="M3" s="5" t="n">
        <v>150000</v>
      </c>
      <c r="N3" s="5" t="n">
        <v>200000</v>
      </c>
      <c r="O3" s="5" t="n">
        <v>250000</v>
      </c>
      <c r="P3" s="5" t="n">
        <v>250000</v>
      </c>
      <c r="Q3" s="5" t="n">
        <f aca="false">SUM(M3:P3)</f>
        <v>850000</v>
      </c>
      <c r="R3" s="3" t="s">
        <v>49</v>
      </c>
      <c r="S3" s="5" t="n">
        <v>1250000</v>
      </c>
      <c r="T3" s="4" t="s">
        <v>73</v>
      </c>
      <c r="U3" s="4" t="s">
        <v>74</v>
      </c>
      <c r="V3" s="3" t="s">
        <v>75</v>
      </c>
      <c r="W3" s="5" t="n">
        <v>250000</v>
      </c>
      <c r="X3" s="4" t="s">
        <v>76</v>
      </c>
      <c r="Y3" s="4" t="s">
        <v>77</v>
      </c>
      <c r="Z3" s="4" t="s">
        <v>55</v>
      </c>
      <c r="AA3" s="3" t="s">
        <v>78</v>
      </c>
      <c r="AB3" s="3" t="s">
        <v>79</v>
      </c>
      <c r="AC3" s="4" t="s">
        <v>80</v>
      </c>
      <c r="AD3" s="3" t="s">
        <v>81</v>
      </c>
      <c r="AE3" s="3" t="s">
        <v>60</v>
      </c>
      <c r="AF3" s="3" t="s">
        <v>82</v>
      </c>
      <c r="AG3" s="4" t="n">
        <v>2</v>
      </c>
      <c r="AH3" s="4" t="s">
        <v>61</v>
      </c>
      <c r="AI3" s="4" t="s">
        <v>83</v>
      </c>
      <c r="AJ3" s="3" t="n">
        <v>9</v>
      </c>
      <c r="AK3" s="6" t="s">
        <v>84</v>
      </c>
      <c r="AL3" s="0" t="s">
        <v>85</v>
      </c>
    </row>
    <row r="4" customFormat="false" ht="23.25" hidden="false" customHeight="true" outlineLevel="0" collapsed="false">
      <c r="A4" s="3" t="s">
        <v>86</v>
      </c>
      <c r="B4" s="4" t="s">
        <v>87</v>
      </c>
      <c r="C4" s="4" t="s">
        <v>88</v>
      </c>
      <c r="D4" s="3" t="s">
        <v>68</v>
      </c>
      <c r="E4" s="3" t="s">
        <v>42</v>
      </c>
      <c r="F4" s="3" t="s">
        <v>43</v>
      </c>
      <c r="G4" s="4" t="s">
        <v>89</v>
      </c>
      <c r="H4" s="4" t="s">
        <v>90</v>
      </c>
      <c r="I4" s="4" t="s">
        <v>91</v>
      </c>
      <c r="J4" s="3" t="s">
        <v>71</v>
      </c>
      <c r="K4" s="3" t="s">
        <v>92</v>
      </c>
      <c r="L4" s="5" t="n">
        <v>75000</v>
      </c>
      <c r="M4" s="5" t="n">
        <v>100000</v>
      </c>
      <c r="N4" s="5" t="n">
        <v>120000</v>
      </c>
      <c r="O4" s="5" t="n">
        <v>150000</v>
      </c>
      <c r="P4" s="5" t="n">
        <v>180000</v>
      </c>
      <c r="Q4" s="5" t="n">
        <f aca="false">SUM(M4:P4)</f>
        <v>550000</v>
      </c>
      <c r="R4" s="3" t="s">
        <v>49</v>
      </c>
      <c r="S4" s="5" t="n">
        <v>900000</v>
      </c>
      <c r="T4" s="4" t="s">
        <v>73</v>
      </c>
      <c r="U4" s="4" t="s">
        <v>74</v>
      </c>
      <c r="V4" s="3" t="s">
        <v>75</v>
      </c>
      <c r="W4" s="5" t="n">
        <v>180000</v>
      </c>
      <c r="X4" s="4" t="s">
        <v>93</v>
      </c>
      <c r="Y4" s="4" t="s">
        <v>94</v>
      </c>
      <c r="Z4" s="4" t="s">
        <v>95</v>
      </c>
      <c r="AA4" s="3" t="s">
        <v>96</v>
      </c>
      <c r="AB4" s="3" t="s">
        <v>97</v>
      </c>
      <c r="AC4" s="4" t="s">
        <v>98</v>
      </c>
      <c r="AD4" s="3" t="s">
        <v>99</v>
      </c>
      <c r="AE4" s="3" t="s">
        <v>60</v>
      </c>
      <c r="AF4" s="3" t="s">
        <v>60</v>
      </c>
      <c r="AG4" s="4" t="n">
        <v>2</v>
      </c>
      <c r="AH4" s="4" t="s">
        <v>100</v>
      </c>
      <c r="AI4" s="4" t="s">
        <v>62</v>
      </c>
      <c r="AJ4" s="3" t="n">
        <v>9</v>
      </c>
      <c r="AK4" s="6" t="s">
        <v>101</v>
      </c>
      <c r="AL4" s="0" t="s">
        <v>102</v>
      </c>
    </row>
    <row r="5" customFormat="false" ht="23.25" hidden="false" customHeight="true" outlineLevel="0" collapsed="false">
      <c r="A5" s="3" t="s">
        <v>103</v>
      </c>
      <c r="B5" s="4" t="s">
        <v>104</v>
      </c>
      <c r="C5" s="4" t="s">
        <v>105</v>
      </c>
      <c r="D5" s="3" t="s">
        <v>106</v>
      </c>
      <c r="E5" s="3" t="s">
        <v>107</v>
      </c>
      <c r="F5" s="3" t="s">
        <v>43</v>
      </c>
      <c r="G5" s="4" t="s">
        <v>108</v>
      </c>
      <c r="H5" s="4" t="s">
        <v>109</v>
      </c>
      <c r="I5" s="4" t="s">
        <v>110</v>
      </c>
      <c r="J5" s="3" t="s">
        <v>71</v>
      </c>
      <c r="K5" s="3" t="s">
        <v>111</v>
      </c>
      <c r="L5" s="5" t="n">
        <v>150000</v>
      </c>
      <c r="M5" s="4" t="n">
        <v>0</v>
      </c>
      <c r="N5" s="4" t="n">
        <v>0</v>
      </c>
      <c r="O5" s="4" t="n">
        <v>0</v>
      </c>
      <c r="P5" s="5" t="n">
        <v>150000</v>
      </c>
      <c r="Q5" s="5" t="n">
        <f aca="false">SUM(M5:P5)</f>
        <v>150000</v>
      </c>
      <c r="R5" s="3" t="s">
        <v>60</v>
      </c>
      <c r="S5" s="4"/>
      <c r="T5" s="4"/>
      <c r="U5" s="4"/>
      <c r="V5" s="3"/>
      <c r="W5" s="4"/>
      <c r="X5" s="4" t="s">
        <v>112</v>
      </c>
      <c r="Y5" s="4" t="s">
        <v>113</v>
      </c>
      <c r="Z5" s="4" t="s">
        <v>114</v>
      </c>
      <c r="AA5" s="3" t="s">
        <v>115</v>
      </c>
      <c r="AB5" s="3" t="s">
        <v>57</v>
      </c>
      <c r="AC5" s="4" t="s">
        <v>116</v>
      </c>
      <c r="AD5" s="3" t="s">
        <v>117</v>
      </c>
      <c r="AE5" s="3" t="s">
        <v>60</v>
      </c>
      <c r="AF5" s="3" t="s">
        <v>60</v>
      </c>
      <c r="AG5" s="4" t="n">
        <v>1</v>
      </c>
      <c r="AH5" s="4" t="s">
        <v>61</v>
      </c>
      <c r="AI5" s="4" t="s">
        <v>118</v>
      </c>
      <c r="AJ5" s="3" t="n">
        <v>8</v>
      </c>
      <c r="AK5" s="6" t="s">
        <v>119</v>
      </c>
      <c r="AL5" s="0" t="s">
        <v>64</v>
      </c>
    </row>
    <row r="6" customFormat="false" ht="15" hidden="false" customHeight="true" outlineLevel="0" collapsed="false">
      <c r="A6" s="3" t="s">
        <v>120</v>
      </c>
      <c r="B6" s="4" t="s">
        <v>121</v>
      </c>
      <c r="C6" s="4" t="s">
        <v>122</v>
      </c>
      <c r="D6" s="3" t="s">
        <v>41</v>
      </c>
      <c r="E6" s="3" t="s">
        <v>42</v>
      </c>
      <c r="F6" s="3" t="s">
        <v>43</v>
      </c>
      <c r="G6" s="4" t="s">
        <v>123</v>
      </c>
      <c r="H6" s="4" t="s">
        <v>124</v>
      </c>
      <c r="I6" s="4" t="s">
        <v>125</v>
      </c>
      <c r="J6" s="3" t="s">
        <v>71</v>
      </c>
      <c r="K6" s="3" t="s">
        <v>126</v>
      </c>
      <c r="L6" s="5" t="n">
        <v>50000</v>
      </c>
      <c r="M6" s="5" t="n">
        <v>75000</v>
      </c>
      <c r="N6" s="5" t="n">
        <v>85000</v>
      </c>
      <c r="O6" s="5" t="n">
        <v>100000</v>
      </c>
      <c r="P6" s="5" t="n">
        <v>100000</v>
      </c>
      <c r="Q6" s="5" t="n">
        <f aca="false">SUM(M6:P6)</f>
        <v>360000</v>
      </c>
      <c r="R6" s="3" t="s">
        <v>49</v>
      </c>
      <c r="S6" s="5" t="n">
        <v>500000</v>
      </c>
      <c r="T6" s="4" t="s">
        <v>73</v>
      </c>
      <c r="U6" s="4" t="s">
        <v>74</v>
      </c>
      <c r="V6" s="3" t="s">
        <v>75</v>
      </c>
      <c r="W6" s="5" t="n">
        <v>100000</v>
      </c>
      <c r="X6" s="4" t="s">
        <v>127</v>
      </c>
      <c r="Y6" s="4" t="s">
        <v>128</v>
      </c>
      <c r="Z6" s="4" t="s">
        <v>55</v>
      </c>
      <c r="AA6" s="3" t="s">
        <v>129</v>
      </c>
      <c r="AB6" s="3" t="s">
        <v>130</v>
      </c>
      <c r="AC6" s="4" t="s">
        <v>131</v>
      </c>
      <c r="AD6" s="3" t="s">
        <v>132</v>
      </c>
      <c r="AE6" s="3" t="s">
        <v>60</v>
      </c>
      <c r="AF6" s="3" t="s">
        <v>60</v>
      </c>
      <c r="AG6" s="4" t="n">
        <v>1</v>
      </c>
      <c r="AH6" s="4" t="s">
        <v>100</v>
      </c>
      <c r="AI6" s="4" t="s">
        <v>62</v>
      </c>
      <c r="AJ6" s="3" t="n">
        <v>9</v>
      </c>
      <c r="AK6" s="6" t="s">
        <v>133</v>
      </c>
      <c r="AL6" s="0" t="s">
        <v>64</v>
      </c>
    </row>
    <row r="7" customFormat="false" ht="15" hidden="false" customHeight="true" outlineLevel="0" collapsed="false">
      <c r="A7" s="3" t="s">
        <v>134</v>
      </c>
      <c r="B7" s="4" t="s">
        <v>135</v>
      </c>
      <c r="C7" s="4" t="s">
        <v>136</v>
      </c>
      <c r="D7" s="3" t="s">
        <v>68</v>
      </c>
      <c r="E7" s="3" t="s">
        <v>42</v>
      </c>
      <c r="F7" s="3" t="s">
        <v>43</v>
      </c>
      <c r="G7" s="4" t="s">
        <v>137</v>
      </c>
      <c r="H7" s="4" t="s">
        <v>138</v>
      </c>
      <c r="I7" s="4" t="s">
        <v>139</v>
      </c>
      <c r="J7" s="3" t="s">
        <v>71</v>
      </c>
      <c r="K7" s="3" t="s">
        <v>140</v>
      </c>
      <c r="L7" s="5" t="n">
        <v>60000</v>
      </c>
      <c r="M7" s="5" t="n">
        <v>80000</v>
      </c>
      <c r="N7" s="5" t="n">
        <v>100000</v>
      </c>
      <c r="O7" s="5" t="n">
        <v>110000</v>
      </c>
      <c r="P7" s="5" t="n">
        <v>125000</v>
      </c>
      <c r="Q7" s="5" t="n">
        <f aca="false">SUM(M7:P7)</f>
        <v>415000</v>
      </c>
      <c r="R7" s="3" t="s">
        <v>49</v>
      </c>
      <c r="S7" s="5" t="n">
        <v>625000</v>
      </c>
      <c r="T7" s="4" t="s">
        <v>73</v>
      </c>
      <c r="U7" s="4" t="s">
        <v>74</v>
      </c>
      <c r="V7" s="3" t="s">
        <v>75</v>
      </c>
      <c r="W7" s="5" t="n">
        <v>125000</v>
      </c>
      <c r="X7" s="4" t="s">
        <v>141</v>
      </c>
      <c r="Y7" s="4" t="s">
        <v>142</v>
      </c>
      <c r="Z7" s="4" t="s">
        <v>95</v>
      </c>
      <c r="AA7" s="3" t="s">
        <v>143</v>
      </c>
      <c r="AB7" s="3" t="s">
        <v>97</v>
      </c>
      <c r="AC7" s="4" t="s">
        <v>144</v>
      </c>
      <c r="AD7" s="3" t="s">
        <v>145</v>
      </c>
      <c r="AE7" s="3" t="s">
        <v>60</v>
      </c>
      <c r="AF7" s="3" t="s">
        <v>49</v>
      </c>
      <c r="AG7" s="4" t="n">
        <v>2</v>
      </c>
      <c r="AH7" s="4" t="s">
        <v>100</v>
      </c>
      <c r="AI7" s="4" t="s">
        <v>83</v>
      </c>
      <c r="AJ7" s="3" t="n">
        <v>8</v>
      </c>
      <c r="AK7" s="6" t="s">
        <v>146</v>
      </c>
      <c r="AL7" s="0" t="s">
        <v>85</v>
      </c>
    </row>
    <row r="8" customFormat="false" ht="15" hidden="false" customHeight="true" outlineLevel="0" collapsed="false">
      <c r="A8" s="3" t="s">
        <v>147</v>
      </c>
      <c r="B8" s="4" t="s">
        <v>148</v>
      </c>
      <c r="C8" s="4" t="s">
        <v>149</v>
      </c>
      <c r="D8" s="3" t="s">
        <v>106</v>
      </c>
      <c r="E8" s="3" t="s">
        <v>42</v>
      </c>
      <c r="F8" s="3" t="s">
        <v>43</v>
      </c>
      <c r="G8" s="4" t="s">
        <v>150</v>
      </c>
      <c r="H8" s="4" t="s">
        <v>151</v>
      </c>
      <c r="I8" s="4" t="s">
        <v>110</v>
      </c>
      <c r="J8" s="3" t="s">
        <v>152</v>
      </c>
      <c r="K8" s="3" t="s">
        <v>153</v>
      </c>
      <c r="L8" s="5" t="n">
        <v>25000</v>
      </c>
      <c r="M8" s="5" t="n">
        <v>25000</v>
      </c>
      <c r="N8" s="5" t="n">
        <v>35000</v>
      </c>
      <c r="O8" s="5" t="n">
        <v>50000</v>
      </c>
      <c r="P8" s="5" t="n">
        <v>75000</v>
      </c>
      <c r="Q8" s="5" t="n">
        <f aca="false">SUM(M8:P8)</f>
        <v>185000</v>
      </c>
      <c r="R8" s="3" t="s">
        <v>60</v>
      </c>
      <c r="S8" s="4"/>
      <c r="T8" s="4"/>
      <c r="U8" s="4"/>
      <c r="V8" s="3"/>
      <c r="W8" s="4"/>
      <c r="X8" s="4" t="s">
        <v>154</v>
      </c>
      <c r="Y8" s="4" t="s">
        <v>77</v>
      </c>
      <c r="Z8" s="4" t="s">
        <v>114</v>
      </c>
      <c r="AA8" s="3" t="s">
        <v>155</v>
      </c>
      <c r="AB8" s="3" t="s">
        <v>97</v>
      </c>
      <c r="AC8" s="4" t="s">
        <v>156</v>
      </c>
      <c r="AD8" s="3" t="s">
        <v>81</v>
      </c>
      <c r="AE8" s="3" t="s">
        <v>60</v>
      </c>
      <c r="AF8" s="3" t="s">
        <v>60</v>
      </c>
      <c r="AG8" s="4" t="n">
        <v>1</v>
      </c>
      <c r="AH8" s="4" t="s">
        <v>157</v>
      </c>
      <c r="AI8" s="4" t="s">
        <v>83</v>
      </c>
      <c r="AJ8" s="3" t="n">
        <v>7</v>
      </c>
      <c r="AK8" s="6" t="s">
        <v>158</v>
      </c>
      <c r="AL8" s="0" t="s">
        <v>102</v>
      </c>
    </row>
    <row r="9" customFormat="false" ht="23.25" hidden="false" customHeight="true" outlineLevel="0" collapsed="false">
      <c r="A9" s="3" t="s">
        <v>159</v>
      </c>
      <c r="B9" s="4" t="s">
        <v>160</v>
      </c>
      <c r="C9" s="4" t="s">
        <v>161</v>
      </c>
      <c r="D9" s="3" t="s">
        <v>68</v>
      </c>
      <c r="E9" s="3" t="s">
        <v>42</v>
      </c>
      <c r="F9" s="3" t="s">
        <v>43</v>
      </c>
      <c r="G9" s="4" t="s">
        <v>162</v>
      </c>
      <c r="H9" s="4" t="s">
        <v>163</v>
      </c>
      <c r="I9" s="4" t="s">
        <v>125</v>
      </c>
      <c r="J9" s="3" t="s">
        <v>152</v>
      </c>
      <c r="K9" s="3" t="s">
        <v>164</v>
      </c>
      <c r="L9" s="5" t="n">
        <v>40000</v>
      </c>
      <c r="M9" s="5" t="n">
        <v>50000</v>
      </c>
      <c r="N9" s="5" t="n">
        <v>65000</v>
      </c>
      <c r="O9" s="5" t="n">
        <v>75000</v>
      </c>
      <c r="P9" s="5" t="n">
        <v>90000</v>
      </c>
      <c r="Q9" s="5" t="n">
        <f aca="false">SUM(M9:P9)</f>
        <v>280000</v>
      </c>
      <c r="R9" s="3" t="s">
        <v>60</v>
      </c>
      <c r="S9" s="4"/>
      <c r="T9" s="4"/>
      <c r="U9" s="4"/>
      <c r="V9" s="3"/>
      <c r="W9" s="4"/>
      <c r="X9" s="4" t="s">
        <v>165</v>
      </c>
      <c r="Y9" s="4" t="s">
        <v>166</v>
      </c>
      <c r="Z9" s="4" t="s">
        <v>55</v>
      </c>
      <c r="AA9" s="3" t="s">
        <v>167</v>
      </c>
      <c r="AB9" s="3" t="s">
        <v>79</v>
      </c>
      <c r="AC9" s="4" t="s">
        <v>168</v>
      </c>
      <c r="AD9" s="3" t="s">
        <v>59</v>
      </c>
      <c r="AE9" s="3" t="s">
        <v>60</v>
      </c>
      <c r="AF9" s="3" t="s">
        <v>60</v>
      </c>
      <c r="AG9" s="4" t="n">
        <v>1</v>
      </c>
      <c r="AH9" s="4" t="s">
        <v>100</v>
      </c>
      <c r="AI9" s="4" t="s">
        <v>83</v>
      </c>
      <c r="AJ9" s="3" t="n">
        <v>8</v>
      </c>
      <c r="AK9" s="6" t="s">
        <v>169</v>
      </c>
      <c r="AL9" s="0" t="s">
        <v>64</v>
      </c>
    </row>
    <row r="10" customFormat="false" ht="23.25" hidden="false" customHeight="true" outlineLevel="0" collapsed="false">
      <c r="A10" s="3" t="s">
        <v>170</v>
      </c>
      <c r="B10" s="4" t="s">
        <v>171</v>
      </c>
      <c r="C10" s="4" t="s">
        <v>172</v>
      </c>
      <c r="D10" s="3" t="s">
        <v>106</v>
      </c>
      <c r="E10" s="3" t="s">
        <v>107</v>
      </c>
      <c r="F10" s="3" t="s">
        <v>43</v>
      </c>
      <c r="G10" s="4" t="s">
        <v>173</v>
      </c>
      <c r="H10" s="4" t="s">
        <v>174</v>
      </c>
      <c r="I10" s="4" t="s">
        <v>175</v>
      </c>
      <c r="J10" s="3" t="s">
        <v>152</v>
      </c>
      <c r="K10" s="3" t="s">
        <v>176</v>
      </c>
      <c r="L10" s="5" t="n">
        <v>50000</v>
      </c>
      <c r="M10" s="4" t="n">
        <v>0</v>
      </c>
      <c r="N10" s="4" t="n">
        <v>0</v>
      </c>
      <c r="O10" s="4" t="n">
        <v>0</v>
      </c>
      <c r="P10" s="5" t="n">
        <v>50000</v>
      </c>
      <c r="Q10" s="5" t="n">
        <f aca="false">SUM(M10:P10)</f>
        <v>50000</v>
      </c>
      <c r="R10" s="3" t="s">
        <v>60</v>
      </c>
      <c r="S10" s="4"/>
      <c r="T10" s="4"/>
      <c r="U10" s="4"/>
      <c r="V10" s="3"/>
      <c r="W10" s="4"/>
      <c r="X10" s="4" t="s">
        <v>154</v>
      </c>
      <c r="Y10" s="4" t="s">
        <v>177</v>
      </c>
      <c r="Z10" s="4" t="s">
        <v>95</v>
      </c>
      <c r="AA10" s="3" t="s">
        <v>176</v>
      </c>
      <c r="AB10" s="3" t="s">
        <v>178</v>
      </c>
      <c r="AC10" s="4" t="s">
        <v>179</v>
      </c>
      <c r="AD10" s="3" t="s">
        <v>99</v>
      </c>
      <c r="AE10" s="3" t="s">
        <v>60</v>
      </c>
      <c r="AF10" s="3" t="s">
        <v>60</v>
      </c>
      <c r="AG10" s="4" t="n">
        <v>1</v>
      </c>
      <c r="AH10" s="4" t="s">
        <v>157</v>
      </c>
      <c r="AI10" s="4" t="s">
        <v>118</v>
      </c>
      <c r="AJ10" s="3" t="n">
        <v>6</v>
      </c>
      <c r="AK10" s="6" t="s">
        <v>180</v>
      </c>
      <c r="AL10" s="0" t="s">
        <v>64</v>
      </c>
    </row>
    <row r="11" customFormat="false" ht="15" hidden="false" customHeight="true" outlineLevel="0" collapsed="false">
      <c r="A11" s="3" t="s">
        <v>181</v>
      </c>
      <c r="B11" s="4" t="s">
        <v>182</v>
      </c>
      <c r="C11" s="4" t="s">
        <v>183</v>
      </c>
      <c r="D11" s="3" t="s">
        <v>106</v>
      </c>
      <c r="E11" s="3" t="s">
        <v>42</v>
      </c>
      <c r="F11" s="3" t="s">
        <v>43</v>
      </c>
      <c r="G11" s="4" t="s">
        <v>184</v>
      </c>
      <c r="H11" s="4" t="s">
        <v>185</v>
      </c>
      <c r="I11" s="4" t="s">
        <v>186</v>
      </c>
      <c r="J11" s="3" t="s">
        <v>152</v>
      </c>
      <c r="K11" s="3" t="s">
        <v>187</v>
      </c>
      <c r="L11" s="5" t="n">
        <v>15000</v>
      </c>
      <c r="M11" s="5" t="n">
        <v>15000</v>
      </c>
      <c r="N11" s="5" t="n">
        <v>20000</v>
      </c>
      <c r="O11" s="5" t="n">
        <v>25000</v>
      </c>
      <c r="P11" s="5" t="n">
        <v>25000</v>
      </c>
      <c r="Q11" s="5" t="n">
        <f aca="false">SUM(M11:P11)</f>
        <v>85000</v>
      </c>
      <c r="R11" s="3" t="s">
        <v>60</v>
      </c>
      <c r="S11" s="4"/>
      <c r="T11" s="4"/>
      <c r="U11" s="4"/>
      <c r="V11" s="3"/>
      <c r="W11" s="4"/>
      <c r="X11" s="4" t="s">
        <v>154</v>
      </c>
      <c r="Y11" s="4" t="s">
        <v>188</v>
      </c>
      <c r="Z11" s="4" t="s">
        <v>114</v>
      </c>
      <c r="AA11" s="3" t="s">
        <v>189</v>
      </c>
      <c r="AB11" s="3" t="s">
        <v>57</v>
      </c>
      <c r="AC11" s="4" t="s">
        <v>190</v>
      </c>
      <c r="AD11" s="3" t="s">
        <v>117</v>
      </c>
      <c r="AE11" s="3" t="s">
        <v>60</v>
      </c>
      <c r="AF11" s="3" t="s">
        <v>60</v>
      </c>
      <c r="AG11" s="4" t="n">
        <v>2</v>
      </c>
      <c r="AH11" s="4" t="s">
        <v>157</v>
      </c>
      <c r="AI11" s="4" t="s">
        <v>83</v>
      </c>
      <c r="AJ11" s="3" t="n">
        <v>7</v>
      </c>
      <c r="AK11" s="6" t="s">
        <v>191</v>
      </c>
      <c r="AL11" s="0" t="s">
        <v>102</v>
      </c>
    </row>
    <row r="12" customFormat="false" ht="23.25" hidden="false" customHeight="true" outlineLevel="0" collapsed="false">
      <c r="A12" s="3" t="s">
        <v>192</v>
      </c>
      <c r="B12" s="4" t="s">
        <v>193</v>
      </c>
      <c r="C12" s="4" t="s">
        <v>194</v>
      </c>
      <c r="D12" s="3" t="s">
        <v>106</v>
      </c>
      <c r="E12" s="3" t="s">
        <v>195</v>
      </c>
      <c r="F12" s="3" t="s">
        <v>196</v>
      </c>
      <c r="G12" s="4" t="s">
        <v>197</v>
      </c>
      <c r="H12" s="4" t="s">
        <v>198</v>
      </c>
      <c r="I12" s="4" t="s">
        <v>110</v>
      </c>
      <c r="J12" s="3" t="s">
        <v>152</v>
      </c>
      <c r="K12" s="3" t="s">
        <v>199</v>
      </c>
      <c r="L12" s="5" t="n">
        <v>60000</v>
      </c>
      <c r="M12" s="4" t="n">
        <v>0</v>
      </c>
      <c r="N12" s="4" t="n">
        <v>0</v>
      </c>
      <c r="O12" s="5" t="n">
        <v>60000</v>
      </c>
      <c r="P12" s="5" t="n">
        <v>60000</v>
      </c>
      <c r="Q12" s="5" t="n">
        <f aca="false">SUM(M12:P12)</f>
        <v>120000</v>
      </c>
      <c r="R12" s="3" t="s">
        <v>60</v>
      </c>
      <c r="S12" s="4"/>
      <c r="T12" s="4"/>
      <c r="U12" s="4"/>
      <c r="V12" s="3"/>
      <c r="W12" s="4"/>
      <c r="X12" s="4" t="s">
        <v>154</v>
      </c>
      <c r="Y12" s="4" t="s">
        <v>128</v>
      </c>
      <c r="Z12" s="4" t="s">
        <v>114</v>
      </c>
      <c r="AA12" s="3" t="s">
        <v>200</v>
      </c>
      <c r="AB12" s="3" t="s">
        <v>57</v>
      </c>
      <c r="AC12" s="4" t="s">
        <v>201</v>
      </c>
      <c r="AD12" s="3" t="s">
        <v>81</v>
      </c>
      <c r="AE12" s="3" t="s">
        <v>60</v>
      </c>
      <c r="AF12" s="3" t="s">
        <v>60</v>
      </c>
      <c r="AG12" s="4" t="n">
        <v>2</v>
      </c>
      <c r="AH12" s="4" t="s">
        <v>61</v>
      </c>
      <c r="AI12" s="4" t="s">
        <v>118</v>
      </c>
      <c r="AJ12" s="3" t="n">
        <v>8</v>
      </c>
      <c r="AK12" s="6" t="s">
        <v>202</v>
      </c>
      <c r="AL12" s="0" t="s">
        <v>64</v>
      </c>
    </row>
    <row r="13" customFormat="false" ht="23.25" hidden="false" customHeight="true" outlineLevel="0" collapsed="false">
      <c r="A13" s="3" t="s">
        <v>203</v>
      </c>
      <c r="B13" s="4" t="s">
        <v>204</v>
      </c>
      <c r="C13" s="4" t="s">
        <v>205</v>
      </c>
      <c r="D13" s="3" t="s">
        <v>106</v>
      </c>
      <c r="E13" s="3" t="s">
        <v>107</v>
      </c>
      <c r="F13" s="3" t="s">
        <v>196</v>
      </c>
      <c r="G13" s="4" t="s">
        <v>206</v>
      </c>
      <c r="H13" s="4" t="s">
        <v>207</v>
      </c>
      <c r="I13" s="4" t="s">
        <v>46</v>
      </c>
      <c r="J13" s="3" t="s">
        <v>208</v>
      </c>
      <c r="K13" s="3" t="s">
        <v>209</v>
      </c>
      <c r="L13" s="5" t="n">
        <v>35000</v>
      </c>
      <c r="M13" s="4" t="n">
        <v>0</v>
      </c>
      <c r="N13" s="4" t="n">
        <v>0</v>
      </c>
      <c r="O13" s="5" t="n">
        <v>35000</v>
      </c>
      <c r="P13" s="5" t="n">
        <v>35000</v>
      </c>
      <c r="Q13" s="5" t="n">
        <f aca="false">SUM(M13:P13)</f>
        <v>70000</v>
      </c>
      <c r="R13" s="3" t="s">
        <v>60</v>
      </c>
      <c r="S13" s="4"/>
      <c r="T13" s="4"/>
      <c r="U13" s="4"/>
      <c r="V13" s="3"/>
      <c r="W13" s="4"/>
      <c r="X13" s="4" t="s">
        <v>154</v>
      </c>
      <c r="Y13" s="4" t="s">
        <v>210</v>
      </c>
      <c r="Z13" s="4" t="s">
        <v>55</v>
      </c>
      <c r="AA13" s="3" t="s">
        <v>211</v>
      </c>
      <c r="AB13" s="3" t="s">
        <v>97</v>
      </c>
      <c r="AC13" s="4" t="s">
        <v>212</v>
      </c>
      <c r="AD13" s="3" t="s">
        <v>117</v>
      </c>
      <c r="AE13" s="3" t="s">
        <v>60</v>
      </c>
      <c r="AF13" s="3" t="s">
        <v>60</v>
      </c>
      <c r="AG13" s="4" t="n">
        <v>1</v>
      </c>
      <c r="AH13" s="4" t="s">
        <v>61</v>
      </c>
      <c r="AI13" s="4" t="s">
        <v>213</v>
      </c>
      <c r="AJ13" s="3" t="n">
        <v>7</v>
      </c>
      <c r="AK13" s="6" t="s">
        <v>214</v>
      </c>
      <c r="AL13" s="0" t="s">
        <v>64</v>
      </c>
    </row>
    <row r="14" customFormat="false" ht="23.25" hidden="false" customHeight="true" outlineLevel="0" collapsed="false">
      <c r="A14" s="3" t="s">
        <v>215</v>
      </c>
      <c r="B14" s="4" t="s">
        <v>216</v>
      </c>
      <c r="C14" s="4" t="s">
        <v>217</v>
      </c>
      <c r="D14" s="3" t="s">
        <v>106</v>
      </c>
      <c r="E14" s="3" t="s">
        <v>218</v>
      </c>
      <c r="F14" s="3" t="s">
        <v>196</v>
      </c>
      <c r="G14" s="4" t="s">
        <v>219</v>
      </c>
      <c r="H14" s="4" t="s">
        <v>220</v>
      </c>
      <c r="I14" s="4" t="s">
        <v>46</v>
      </c>
      <c r="J14" s="3" t="s">
        <v>221</v>
      </c>
      <c r="K14" s="3"/>
      <c r="L14" s="4"/>
      <c r="M14" s="4" t="n">
        <v>0</v>
      </c>
      <c r="N14" s="4" t="n">
        <v>0</v>
      </c>
      <c r="O14" s="4" t="n">
        <v>0</v>
      </c>
      <c r="P14" s="4" t="n">
        <v>0</v>
      </c>
      <c r="Q14" s="5" t="n">
        <f aca="false">SUM(M14:P14)</f>
        <v>0</v>
      </c>
      <c r="R14" s="3" t="s">
        <v>60</v>
      </c>
      <c r="S14" s="4"/>
      <c r="T14" s="4"/>
      <c r="U14" s="4"/>
      <c r="V14" s="3"/>
      <c r="W14" s="4"/>
      <c r="X14" s="4"/>
      <c r="Y14" s="4" t="s">
        <v>77</v>
      </c>
      <c r="Z14" s="4" t="s">
        <v>95</v>
      </c>
      <c r="AA14" s="3" t="s">
        <v>222</v>
      </c>
      <c r="AB14" s="3" t="s">
        <v>223</v>
      </c>
      <c r="AC14" s="4" t="s">
        <v>224</v>
      </c>
      <c r="AD14" s="3" t="s">
        <v>81</v>
      </c>
      <c r="AE14" s="3" t="s">
        <v>60</v>
      </c>
      <c r="AF14" s="3" t="s">
        <v>60</v>
      </c>
      <c r="AG14" s="4" t="n">
        <v>0</v>
      </c>
      <c r="AH14" s="4" t="s">
        <v>61</v>
      </c>
      <c r="AI14" s="4" t="s">
        <v>213</v>
      </c>
      <c r="AJ14" s="3" t="n">
        <v>7</v>
      </c>
      <c r="AK14" s="6" t="s">
        <v>225</v>
      </c>
      <c r="AL14" s="0" t="s">
        <v>64</v>
      </c>
    </row>
    <row r="15" customFormat="false" ht="23.25" hidden="false" customHeight="true" outlineLevel="0" collapsed="false">
      <c r="A15" s="3" t="s">
        <v>226</v>
      </c>
      <c r="B15" s="4" t="s">
        <v>227</v>
      </c>
      <c r="C15" s="4" t="s">
        <v>228</v>
      </c>
      <c r="D15" s="3" t="s">
        <v>41</v>
      </c>
      <c r="E15" s="3" t="s">
        <v>218</v>
      </c>
      <c r="F15" s="3" t="s">
        <v>196</v>
      </c>
      <c r="G15" s="4" t="s">
        <v>229</v>
      </c>
      <c r="H15" s="4" t="s">
        <v>230</v>
      </c>
      <c r="I15" s="4" t="s">
        <v>175</v>
      </c>
      <c r="J15" s="3" t="s">
        <v>221</v>
      </c>
      <c r="K15" s="3"/>
      <c r="L15" s="4"/>
      <c r="M15" s="4" t="n">
        <v>0</v>
      </c>
      <c r="N15" s="4" t="n">
        <v>0</v>
      </c>
      <c r="O15" s="4" t="n">
        <v>0</v>
      </c>
      <c r="P15" s="4" t="n">
        <v>0</v>
      </c>
      <c r="Q15" s="5" t="n">
        <f aca="false">SUM(M15:P15)</f>
        <v>0</v>
      </c>
      <c r="R15" s="3" t="s">
        <v>60</v>
      </c>
      <c r="S15" s="4"/>
      <c r="T15" s="4"/>
      <c r="U15" s="4"/>
      <c r="V15" s="3"/>
      <c r="W15" s="4"/>
      <c r="X15" s="4"/>
      <c r="Y15" s="4"/>
      <c r="Z15" s="4" t="s">
        <v>114</v>
      </c>
      <c r="AA15" s="3" t="s">
        <v>231</v>
      </c>
      <c r="AB15" s="3" t="s">
        <v>223</v>
      </c>
      <c r="AC15" s="4" t="s">
        <v>232</v>
      </c>
      <c r="AD15" s="3" t="s">
        <v>59</v>
      </c>
      <c r="AE15" s="3" t="s">
        <v>60</v>
      </c>
      <c r="AF15" s="3" t="s">
        <v>60</v>
      </c>
      <c r="AG15" s="4" t="n">
        <v>0</v>
      </c>
      <c r="AH15" s="4" t="s">
        <v>100</v>
      </c>
      <c r="AI15" s="4" t="s">
        <v>213</v>
      </c>
      <c r="AJ15" s="3" t="n">
        <v>6</v>
      </c>
      <c r="AK15" s="6" t="s">
        <v>233</v>
      </c>
      <c r="AL15" s="0" t="s">
        <v>102</v>
      </c>
    </row>
    <row r="16" customFormat="false" ht="23.25" hidden="false" customHeight="true" outlineLevel="0" collapsed="false">
      <c r="A16" s="3" t="s">
        <v>234</v>
      </c>
      <c r="B16" s="4" t="s">
        <v>235</v>
      </c>
      <c r="C16" s="4" t="s">
        <v>236</v>
      </c>
      <c r="D16" s="3" t="s">
        <v>68</v>
      </c>
      <c r="E16" s="3" t="s">
        <v>237</v>
      </c>
      <c r="F16" s="3" t="s">
        <v>196</v>
      </c>
      <c r="G16" s="4" t="s">
        <v>238</v>
      </c>
      <c r="H16" s="4" t="s">
        <v>239</v>
      </c>
      <c r="I16" s="4" t="s">
        <v>110</v>
      </c>
      <c r="J16" s="3" t="s">
        <v>221</v>
      </c>
      <c r="K16" s="3"/>
      <c r="L16" s="4"/>
      <c r="M16" s="4" t="n">
        <v>0</v>
      </c>
      <c r="N16" s="4" t="n">
        <v>0</v>
      </c>
      <c r="O16" s="4" t="n">
        <v>0</v>
      </c>
      <c r="P16" s="4" t="n">
        <v>0</v>
      </c>
      <c r="Q16" s="5" t="n">
        <f aca="false">SUM(M16:P16)</f>
        <v>0</v>
      </c>
      <c r="R16" s="3" t="s">
        <v>60</v>
      </c>
      <c r="S16" s="4"/>
      <c r="T16" s="4"/>
      <c r="U16" s="4"/>
      <c r="V16" s="3"/>
      <c r="W16" s="4"/>
      <c r="X16" s="4"/>
      <c r="Y16" s="4" t="s">
        <v>240</v>
      </c>
      <c r="Z16" s="4" t="s">
        <v>55</v>
      </c>
      <c r="AA16" s="3" t="s">
        <v>241</v>
      </c>
      <c r="AB16" s="3" t="s">
        <v>242</v>
      </c>
      <c r="AC16" s="4" t="s">
        <v>243</v>
      </c>
      <c r="AD16" s="3" t="s">
        <v>244</v>
      </c>
      <c r="AE16" s="3" t="s">
        <v>60</v>
      </c>
      <c r="AF16" s="3" t="s">
        <v>60</v>
      </c>
      <c r="AG16" s="4" t="n">
        <v>1</v>
      </c>
      <c r="AH16" s="4" t="s">
        <v>61</v>
      </c>
      <c r="AI16" s="4" t="s">
        <v>118</v>
      </c>
      <c r="AJ16" s="3" t="n">
        <v>8</v>
      </c>
      <c r="AK16" s="6" t="s">
        <v>245</v>
      </c>
      <c r="AL16" s="0" t="s">
        <v>64</v>
      </c>
    </row>
    <row r="17" customFormat="false" ht="23.25" hidden="false" customHeight="true" outlineLevel="0" collapsed="false">
      <c r="A17" s="3" t="s">
        <v>246</v>
      </c>
      <c r="B17" s="4" t="s">
        <v>247</v>
      </c>
      <c r="C17" s="4" t="s">
        <v>248</v>
      </c>
      <c r="D17" s="3" t="s">
        <v>41</v>
      </c>
      <c r="E17" s="3" t="s">
        <v>249</v>
      </c>
      <c r="F17" s="3" t="s">
        <v>250</v>
      </c>
      <c r="G17" s="4" t="s">
        <v>251</v>
      </c>
      <c r="H17" s="4" t="s">
        <v>252</v>
      </c>
      <c r="I17" s="4" t="s">
        <v>125</v>
      </c>
      <c r="J17" s="3" t="s">
        <v>152</v>
      </c>
      <c r="K17" s="3" t="s">
        <v>253</v>
      </c>
      <c r="L17" s="5" t="n">
        <v>25000</v>
      </c>
      <c r="M17" s="5" t="n">
        <v>50000</v>
      </c>
      <c r="N17" s="5" t="n">
        <v>40000</v>
      </c>
      <c r="O17" s="4" t="n">
        <v>0</v>
      </c>
      <c r="P17" s="4" t="n">
        <v>0</v>
      </c>
      <c r="Q17" s="5" t="n">
        <f aca="false">SUM(M17:P17)</f>
        <v>90000</v>
      </c>
      <c r="R17" s="3" t="s">
        <v>60</v>
      </c>
      <c r="S17" s="4"/>
      <c r="T17" s="4"/>
      <c r="U17" s="4"/>
      <c r="V17" s="3"/>
      <c r="W17" s="4"/>
      <c r="X17" s="4" t="s">
        <v>254</v>
      </c>
      <c r="Y17" s="4" t="s">
        <v>128</v>
      </c>
      <c r="Z17" s="4" t="s">
        <v>114</v>
      </c>
      <c r="AA17" s="3" t="s">
        <v>255</v>
      </c>
      <c r="AB17" s="3" t="s">
        <v>256</v>
      </c>
      <c r="AC17" s="4" t="s">
        <v>257</v>
      </c>
      <c r="AD17" s="3" t="s">
        <v>145</v>
      </c>
      <c r="AE17" s="3" t="s">
        <v>60</v>
      </c>
      <c r="AF17" s="3" t="s">
        <v>258</v>
      </c>
      <c r="AG17" s="4" t="n">
        <v>0</v>
      </c>
      <c r="AH17" s="4" t="s">
        <v>100</v>
      </c>
      <c r="AI17" s="4" t="s">
        <v>118</v>
      </c>
      <c r="AJ17" s="3" t="n">
        <v>7</v>
      </c>
      <c r="AK17" s="6" t="s">
        <v>259</v>
      </c>
      <c r="AL17" s="0" t="s">
        <v>64</v>
      </c>
    </row>
    <row r="18" customFormat="false" ht="15" hidden="false" customHeight="true" outlineLevel="0" collapsed="false">
      <c r="A18" s="3" t="s">
        <v>260</v>
      </c>
      <c r="B18" s="4" t="s">
        <v>261</v>
      </c>
      <c r="C18" s="4" t="s">
        <v>262</v>
      </c>
      <c r="D18" s="3" t="s">
        <v>106</v>
      </c>
      <c r="E18" s="3" t="s">
        <v>249</v>
      </c>
      <c r="F18" s="3" t="s">
        <v>250</v>
      </c>
      <c r="G18" s="4" t="s">
        <v>263</v>
      </c>
      <c r="H18" s="4" t="s">
        <v>264</v>
      </c>
      <c r="I18" s="4" t="s">
        <v>110</v>
      </c>
      <c r="J18" s="3" t="s">
        <v>208</v>
      </c>
      <c r="K18" s="3" t="s">
        <v>265</v>
      </c>
      <c r="L18" s="5" t="n">
        <v>10000</v>
      </c>
      <c r="M18" s="5" t="n">
        <v>15000</v>
      </c>
      <c r="N18" s="5" t="n">
        <v>10000</v>
      </c>
      <c r="O18" s="4" t="n">
        <v>0</v>
      </c>
      <c r="P18" s="4" t="n">
        <v>0</v>
      </c>
      <c r="Q18" s="5" t="n">
        <f aca="false">SUM(M18:P18)</f>
        <v>25000</v>
      </c>
      <c r="R18" s="3" t="s">
        <v>60</v>
      </c>
      <c r="S18" s="4"/>
      <c r="T18" s="4"/>
      <c r="U18" s="4"/>
      <c r="V18" s="3"/>
      <c r="W18" s="4"/>
      <c r="X18" s="4" t="s">
        <v>154</v>
      </c>
      <c r="Y18" s="4" t="s">
        <v>128</v>
      </c>
      <c r="Z18" s="4" t="s">
        <v>95</v>
      </c>
      <c r="AA18" s="3" t="s">
        <v>266</v>
      </c>
      <c r="AB18" s="3" t="s">
        <v>267</v>
      </c>
      <c r="AC18" s="4" t="s">
        <v>268</v>
      </c>
      <c r="AD18" s="3" t="s">
        <v>81</v>
      </c>
      <c r="AE18" s="3" t="s">
        <v>60</v>
      </c>
      <c r="AF18" s="3" t="s">
        <v>60</v>
      </c>
      <c r="AG18" s="4" t="n">
        <v>0</v>
      </c>
      <c r="AH18" s="4" t="s">
        <v>157</v>
      </c>
      <c r="AI18" s="4" t="s">
        <v>213</v>
      </c>
      <c r="AJ18" s="3" t="n">
        <v>5</v>
      </c>
      <c r="AK18" s="6" t="s">
        <v>269</v>
      </c>
      <c r="AL18" s="0" t="s">
        <v>102</v>
      </c>
    </row>
    <row r="19" customFormat="false" ht="23.25" hidden="false" customHeight="true" outlineLevel="0" collapsed="false">
      <c r="A19" s="3" t="s">
        <v>270</v>
      </c>
      <c r="B19" s="4" t="s">
        <v>271</v>
      </c>
      <c r="C19" s="4" t="s">
        <v>272</v>
      </c>
      <c r="D19" s="3" t="s">
        <v>106</v>
      </c>
      <c r="E19" s="3" t="s">
        <v>273</v>
      </c>
      <c r="F19" s="3" t="s">
        <v>274</v>
      </c>
      <c r="G19" s="4" t="s">
        <v>275</v>
      </c>
      <c r="H19" s="4" t="s">
        <v>276</v>
      </c>
      <c r="I19" s="4" t="s">
        <v>46</v>
      </c>
      <c r="J19" s="3" t="s">
        <v>221</v>
      </c>
      <c r="K19" s="3"/>
      <c r="L19" s="4"/>
      <c r="M19" s="4" t="n">
        <v>0</v>
      </c>
      <c r="N19" s="4" t="n">
        <v>0</v>
      </c>
      <c r="O19" s="4" t="n">
        <v>0</v>
      </c>
      <c r="P19" s="4" t="n">
        <v>0</v>
      </c>
      <c r="Q19" s="5" t="n">
        <f aca="false">SUM(M19:P19)</f>
        <v>0</v>
      </c>
      <c r="R19" s="3" t="s">
        <v>60</v>
      </c>
      <c r="S19" s="4"/>
      <c r="T19" s="4"/>
      <c r="U19" s="4"/>
      <c r="V19" s="3"/>
      <c r="W19" s="4"/>
      <c r="X19" s="4"/>
      <c r="Y19" s="4"/>
      <c r="Z19" s="4" t="s">
        <v>55</v>
      </c>
      <c r="AA19" s="3" t="s">
        <v>277</v>
      </c>
      <c r="AB19" s="3" t="s">
        <v>79</v>
      </c>
      <c r="AC19" s="4" t="s">
        <v>278</v>
      </c>
      <c r="AD19" s="3" t="s">
        <v>279</v>
      </c>
      <c r="AE19" s="3" t="s">
        <v>60</v>
      </c>
      <c r="AF19" s="3" t="s">
        <v>60</v>
      </c>
      <c r="AG19" s="4" t="n">
        <v>1</v>
      </c>
      <c r="AH19" s="4" t="s">
        <v>61</v>
      </c>
      <c r="AI19" s="4" t="s">
        <v>280</v>
      </c>
      <c r="AJ19" s="3" t="n">
        <v>6</v>
      </c>
      <c r="AK19" s="6" t="s">
        <v>281</v>
      </c>
      <c r="AL19" s="0" t="s">
        <v>85</v>
      </c>
    </row>
    <row r="20" customFormat="false" ht="15" hidden="false" customHeight="true" outlineLevel="0" collapsed="false">
      <c r="A20" s="3" t="s">
        <v>282</v>
      </c>
      <c r="B20" s="4" t="s">
        <v>283</v>
      </c>
      <c r="C20" s="4" t="s">
        <v>284</v>
      </c>
      <c r="D20" s="3" t="s">
        <v>68</v>
      </c>
      <c r="E20" s="3" t="s">
        <v>42</v>
      </c>
      <c r="F20" s="3" t="s">
        <v>43</v>
      </c>
      <c r="G20" s="4" t="s">
        <v>285</v>
      </c>
      <c r="H20" s="4" t="s">
        <v>286</v>
      </c>
      <c r="I20" s="4" t="s">
        <v>175</v>
      </c>
      <c r="J20" s="3" t="s">
        <v>71</v>
      </c>
      <c r="K20" s="4" t="s">
        <v>287</v>
      </c>
      <c r="L20" s="5" t="n">
        <v>80000</v>
      </c>
      <c r="M20" s="5" t="n">
        <v>100000</v>
      </c>
      <c r="N20" s="5" t="n">
        <v>120000</v>
      </c>
      <c r="O20" s="5" t="n">
        <v>140000</v>
      </c>
      <c r="P20" s="5" t="n">
        <v>160000</v>
      </c>
      <c r="Q20" s="5" t="n">
        <f aca="false">SUM(M20:P20)</f>
        <v>520000</v>
      </c>
      <c r="R20" s="3" t="s">
        <v>49</v>
      </c>
      <c r="S20" s="5" t="n">
        <v>800000</v>
      </c>
      <c r="T20" s="4" t="s">
        <v>73</v>
      </c>
      <c r="U20" s="4" t="s">
        <v>74</v>
      </c>
      <c r="V20" s="3" t="s">
        <v>75</v>
      </c>
      <c r="W20" s="5" t="n">
        <v>160000</v>
      </c>
      <c r="X20" s="4" t="s">
        <v>288</v>
      </c>
      <c r="Y20" s="4" t="s">
        <v>289</v>
      </c>
      <c r="Z20" s="4" t="s">
        <v>55</v>
      </c>
      <c r="AA20" s="4" t="s">
        <v>290</v>
      </c>
      <c r="AB20" s="3" t="s">
        <v>79</v>
      </c>
      <c r="AC20" s="4" t="s">
        <v>291</v>
      </c>
      <c r="AD20" s="4" t="s">
        <v>292</v>
      </c>
      <c r="AE20" s="3" t="s">
        <v>60</v>
      </c>
      <c r="AF20" s="3" t="s">
        <v>60</v>
      </c>
      <c r="AG20" s="4" t="n">
        <v>2</v>
      </c>
      <c r="AH20" s="4" t="s">
        <v>100</v>
      </c>
      <c r="AI20" s="4" t="s">
        <v>62</v>
      </c>
      <c r="AJ20" s="3" t="n">
        <v>9</v>
      </c>
      <c r="AK20" s="6" t="s">
        <v>293</v>
      </c>
      <c r="AL20" s="0" t="s">
        <v>102</v>
      </c>
    </row>
    <row r="21" customFormat="false" ht="15" hidden="false" customHeight="true" outlineLevel="0" collapsed="false">
      <c r="A21" s="3" t="s">
        <v>294</v>
      </c>
      <c r="B21" s="4" t="s">
        <v>295</v>
      </c>
      <c r="C21" s="4" t="s">
        <v>296</v>
      </c>
      <c r="D21" s="3" t="s">
        <v>106</v>
      </c>
      <c r="E21" s="3" t="s">
        <v>42</v>
      </c>
      <c r="F21" s="3" t="s">
        <v>43</v>
      </c>
      <c r="G21" s="4" t="s">
        <v>297</v>
      </c>
      <c r="H21" s="4" t="s">
        <v>298</v>
      </c>
      <c r="I21" s="4" t="s">
        <v>46</v>
      </c>
      <c r="J21" s="3" t="s">
        <v>152</v>
      </c>
      <c r="K21" s="4" t="s">
        <v>299</v>
      </c>
      <c r="L21" s="5" t="n">
        <v>30000</v>
      </c>
      <c r="M21" s="5" t="n">
        <v>30000</v>
      </c>
      <c r="N21" s="5" t="n">
        <v>45000</v>
      </c>
      <c r="O21" s="5" t="n">
        <v>55000</v>
      </c>
      <c r="P21" s="5" t="n">
        <v>70000</v>
      </c>
      <c r="Q21" s="5" t="n">
        <f aca="false">SUM(M21:P21)</f>
        <v>200000</v>
      </c>
      <c r="R21" s="3" t="s">
        <v>60</v>
      </c>
      <c r="S21" s="4"/>
      <c r="T21" s="4"/>
      <c r="U21" s="4"/>
      <c r="V21" s="3"/>
      <c r="W21" s="4"/>
      <c r="X21" s="4" t="s">
        <v>154</v>
      </c>
      <c r="Y21" s="4" t="s">
        <v>77</v>
      </c>
      <c r="Z21" s="4" t="s">
        <v>95</v>
      </c>
      <c r="AA21" s="4" t="s">
        <v>300</v>
      </c>
      <c r="AB21" s="3" t="s">
        <v>97</v>
      </c>
      <c r="AC21" s="4" t="s">
        <v>301</v>
      </c>
      <c r="AD21" s="4" t="s">
        <v>99</v>
      </c>
      <c r="AE21" s="3" t="s">
        <v>60</v>
      </c>
      <c r="AF21" s="3" t="s">
        <v>60</v>
      </c>
      <c r="AG21" s="4" t="n">
        <v>2</v>
      </c>
      <c r="AH21" s="4" t="s">
        <v>157</v>
      </c>
      <c r="AI21" s="4" t="s">
        <v>83</v>
      </c>
      <c r="AJ21" s="3" t="n">
        <v>7</v>
      </c>
      <c r="AK21" s="6" t="s">
        <v>302</v>
      </c>
      <c r="AL21" s="0" t="s">
        <v>85</v>
      </c>
    </row>
    <row r="22" customFormat="false" ht="15" hidden="false" customHeight="true" outlineLevel="0" collapsed="false">
      <c r="A22" s="3" t="s">
        <v>303</v>
      </c>
      <c r="B22" s="4" t="s">
        <v>304</v>
      </c>
      <c r="C22" s="4" t="s">
        <v>305</v>
      </c>
      <c r="D22" s="3" t="s">
        <v>41</v>
      </c>
      <c r="E22" s="3" t="s">
        <v>42</v>
      </c>
      <c r="F22" s="3" t="s">
        <v>43</v>
      </c>
      <c r="G22" s="4" t="s">
        <v>306</v>
      </c>
      <c r="H22" s="4" t="s">
        <v>307</v>
      </c>
      <c r="I22" s="4" t="s">
        <v>175</v>
      </c>
      <c r="J22" s="3" t="s">
        <v>152</v>
      </c>
      <c r="K22" s="4" t="s">
        <v>308</v>
      </c>
      <c r="L22" s="5" t="n">
        <v>25000</v>
      </c>
      <c r="M22" s="5" t="n">
        <v>35000</v>
      </c>
      <c r="N22" s="5" t="n">
        <v>40000</v>
      </c>
      <c r="O22" s="5" t="n">
        <v>50000</v>
      </c>
      <c r="P22" s="5" t="n">
        <v>65000</v>
      </c>
      <c r="Q22" s="5" t="n">
        <f aca="false">SUM(M22:P22)</f>
        <v>190000</v>
      </c>
      <c r="R22" s="3" t="s">
        <v>60</v>
      </c>
      <c r="S22" s="4"/>
      <c r="T22" s="4"/>
      <c r="U22" s="4"/>
      <c r="V22" s="3"/>
      <c r="W22" s="4"/>
      <c r="X22" s="4" t="s">
        <v>309</v>
      </c>
      <c r="Y22" s="4" t="s">
        <v>177</v>
      </c>
      <c r="Z22" s="4" t="s">
        <v>114</v>
      </c>
      <c r="AA22" s="4" t="s">
        <v>310</v>
      </c>
      <c r="AB22" s="3" t="s">
        <v>57</v>
      </c>
      <c r="AC22" s="4" t="s">
        <v>311</v>
      </c>
      <c r="AD22" s="4" t="s">
        <v>312</v>
      </c>
      <c r="AE22" s="3" t="s">
        <v>60</v>
      </c>
      <c r="AF22" s="3" t="s">
        <v>60</v>
      </c>
      <c r="AG22" s="4" t="n">
        <v>1</v>
      </c>
      <c r="AH22" s="4" t="s">
        <v>100</v>
      </c>
      <c r="AI22" s="4" t="s">
        <v>83</v>
      </c>
      <c r="AJ22" s="3" t="n">
        <v>8</v>
      </c>
      <c r="AK22" s="6" t="s">
        <v>313</v>
      </c>
      <c r="AL22" s="0" t="s">
        <v>102</v>
      </c>
    </row>
    <row r="23" customFormat="false" ht="23.25" hidden="false" customHeight="true" outlineLevel="0" collapsed="false">
      <c r="A23" s="3" t="s">
        <v>314</v>
      </c>
      <c r="B23" s="4" t="s">
        <v>315</v>
      </c>
      <c r="C23" s="4" t="s">
        <v>316</v>
      </c>
      <c r="D23" s="3" t="s">
        <v>41</v>
      </c>
      <c r="E23" s="3" t="s">
        <v>42</v>
      </c>
      <c r="F23" s="3" t="s">
        <v>43</v>
      </c>
      <c r="G23" s="4" t="s">
        <v>317</v>
      </c>
      <c r="H23" s="4" t="s">
        <v>318</v>
      </c>
      <c r="I23" s="4" t="s">
        <v>110</v>
      </c>
      <c r="J23" s="3" t="s">
        <v>71</v>
      </c>
      <c r="K23" s="4" t="s">
        <v>319</v>
      </c>
      <c r="L23" s="5" t="n">
        <v>75000</v>
      </c>
      <c r="M23" s="5" t="n">
        <v>100000</v>
      </c>
      <c r="N23" s="5" t="n">
        <v>100000</v>
      </c>
      <c r="O23" s="5" t="n">
        <v>100000</v>
      </c>
      <c r="P23" s="5" t="n">
        <v>100000</v>
      </c>
      <c r="Q23" s="5" t="n">
        <f aca="false">SUM(M23:P23)</f>
        <v>400000</v>
      </c>
      <c r="R23" s="3" t="s">
        <v>49</v>
      </c>
      <c r="S23" s="5" t="n">
        <v>500000</v>
      </c>
      <c r="T23" s="4" t="s">
        <v>320</v>
      </c>
      <c r="U23" s="4" t="s">
        <v>51</v>
      </c>
      <c r="V23" s="3" t="s">
        <v>321</v>
      </c>
      <c r="W23" s="5" t="n">
        <v>100000</v>
      </c>
      <c r="X23" s="4" t="s">
        <v>322</v>
      </c>
      <c r="Y23" s="4" t="s">
        <v>128</v>
      </c>
      <c r="Z23" s="4" t="s">
        <v>55</v>
      </c>
      <c r="AA23" s="4" t="s">
        <v>231</v>
      </c>
      <c r="AB23" s="3" t="s">
        <v>130</v>
      </c>
      <c r="AC23" s="4" t="s">
        <v>323</v>
      </c>
      <c r="AD23" s="4" t="s">
        <v>244</v>
      </c>
      <c r="AE23" s="3" t="s">
        <v>49</v>
      </c>
      <c r="AF23" s="3" t="s">
        <v>60</v>
      </c>
      <c r="AG23" s="4" t="n">
        <v>2</v>
      </c>
      <c r="AH23" s="4" t="s">
        <v>61</v>
      </c>
      <c r="AI23" s="4" t="s">
        <v>62</v>
      </c>
      <c r="AJ23" s="3" t="n">
        <v>10</v>
      </c>
      <c r="AK23" s="6" t="s">
        <v>324</v>
      </c>
      <c r="AL23" s="0" t="s">
        <v>64</v>
      </c>
    </row>
    <row r="24" customFormat="false" ht="15" hidden="false" customHeight="true" outlineLevel="0" collapsed="false">
      <c r="A24" s="3" t="s">
        <v>325</v>
      </c>
      <c r="B24" s="4" t="s">
        <v>326</v>
      </c>
      <c r="C24" s="4" t="s">
        <v>327</v>
      </c>
      <c r="D24" s="3" t="s">
        <v>106</v>
      </c>
      <c r="E24" s="3" t="s">
        <v>107</v>
      </c>
      <c r="F24" s="3" t="s">
        <v>43</v>
      </c>
      <c r="G24" s="4" t="s">
        <v>328</v>
      </c>
      <c r="H24" s="4" t="s">
        <v>329</v>
      </c>
      <c r="I24" s="4" t="s">
        <v>139</v>
      </c>
      <c r="J24" s="3" t="s">
        <v>152</v>
      </c>
      <c r="K24" s="4" t="s">
        <v>330</v>
      </c>
      <c r="L24" s="5" t="n">
        <v>40000</v>
      </c>
      <c r="M24" s="4" t="n">
        <v>0</v>
      </c>
      <c r="N24" s="4" t="n">
        <v>0</v>
      </c>
      <c r="O24" s="5" t="n">
        <v>40000</v>
      </c>
      <c r="P24" s="5" t="n">
        <v>55000</v>
      </c>
      <c r="Q24" s="5" t="n">
        <f aca="false">SUM(M24:P24)</f>
        <v>95000</v>
      </c>
      <c r="R24" s="3" t="s">
        <v>60</v>
      </c>
      <c r="S24" s="4"/>
      <c r="T24" s="4"/>
      <c r="U24" s="4"/>
      <c r="V24" s="3"/>
      <c r="W24" s="4"/>
      <c r="X24" s="4" t="s">
        <v>154</v>
      </c>
      <c r="Y24" s="4" t="s">
        <v>331</v>
      </c>
      <c r="Z24" s="4" t="s">
        <v>95</v>
      </c>
      <c r="AA24" s="4" t="s">
        <v>189</v>
      </c>
      <c r="AB24" s="3" t="s">
        <v>57</v>
      </c>
      <c r="AC24" s="4" t="s">
        <v>332</v>
      </c>
      <c r="AD24" s="4" t="s">
        <v>333</v>
      </c>
      <c r="AE24" s="3" t="s">
        <v>60</v>
      </c>
      <c r="AF24" s="3" t="s">
        <v>60</v>
      </c>
      <c r="AG24" s="4" t="n">
        <v>1</v>
      </c>
      <c r="AH24" s="4" t="s">
        <v>157</v>
      </c>
      <c r="AI24" s="4" t="s">
        <v>118</v>
      </c>
      <c r="AJ24" s="3" t="n">
        <v>6</v>
      </c>
      <c r="AK24" s="6" t="s">
        <v>334</v>
      </c>
      <c r="AL24" s="0" t="s">
        <v>64</v>
      </c>
    </row>
    <row r="25" customFormat="false" ht="23.25" hidden="false" customHeight="true" outlineLevel="0" collapsed="false">
      <c r="A25" s="3" t="s">
        <v>335</v>
      </c>
      <c r="B25" s="4" t="s">
        <v>336</v>
      </c>
      <c r="C25" s="4" t="s">
        <v>337</v>
      </c>
      <c r="D25" s="3" t="s">
        <v>106</v>
      </c>
      <c r="E25" s="3" t="s">
        <v>42</v>
      </c>
      <c r="F25" s="3" t="s">
        <v>43</v>
      </c>
      <c r="G25" s="4" t="s">
        <v>338</v>
      </c>
      <c r="H25" s="4" t="s">
        <v>339</v>
      </c>
      <c r="I25" s="4" t="s">
        <v>125</v>
      </c>
      <c r="J25" s="3" t="s">
        <v>152</v>
      </c>
      <c r="K25" s="4" t="s">
        <v>340</v>
      </c>
      <c r="L25" s="5" t="n">
        <v>20000</v>
      </c>
      <c r="M25" s="5" t="n">
        <v>25000</v>
      </c>
      <c r="N25" s="5" t="n">
        <v>30000</v>
      </c>
      <c r="O25" s="5" t="n">
        <v>35000</v>
      </c>
      <c r="P25" s="5" t="n">
        <v>45000</v>
      </c>
      <c r="Q25" s="5" t="n">
        <f aca="false">SUM(M25:P25)</f>
        <v>135000</v>
      </c>
      <c r="R25" s="3" t="s">
        <v>60</v>
      </c>
      <c r="S25" s="4"/>
      <c r="T25" s="4"/>
      <c r="U25" s="4"/>
      <c r="V25" s="3"/>
      <c r="W25" s="4"/>
      <c r="X25" s="4" t="s">
        <v>154</v>
      </c>
      <c r="Y25" s="4" t="s">
        <v>128</v>
      </c>
      <c r="Z25" s="4" t="s">
        <v>114</v>
      </c>
      <c r="AA25" s="4" t="s">
        <v>341</v>
      </c>
      <c r="AB25" s="3" t="s">
        <v>97</v>
      </c>
      <c r="AC25" s="4" t="s">
        <v>342</v>
      </c>
      <c r="AD25" s="4" t="s">
        <v>81</v>
      </c>
      <c r="AE25" s="3" t="s">
        <v>60</v>
      </c>
      <c r="AF25" s="3" t="s">
        <v>49</v>
      </c>
      <c r="AG25" s="4" t="n">
        <v>2</v>
      </c>
      <c r="AH25" s="4" t="s">
        <v>157</v>
      </c>
      <c r="AI25" s="4" t="s">
        <v>83</v>
      </c>
      <c r="AJ25" s="3" t="n">
        <v>7</v>
      </c>
      <c r="AK25" s="6" t="s">
        <v>343</v>
      </c>
      <c r="AL25" s="0" t="s">
        <v>64</v>
      </c>
    </row>
    <row r="26" customFormat="false" ht="23.25" hidden="false" customHeight="true" outlineLevel="0" collapsed="false">
      <c r="A26" s="3" t="s">
        <v>344</v>
      </c>
      <c r="B26" s="4" t="s">
        <v>345</v>
      </c>
      <c r="C26" s="4" t="s">
        <v>346</v>
      </c>
      <c r="D26" s="3" t="s">
        <v>68</v>
      </c>
      <c r="E26" s="3" t="s">
        <v>42</v>
      </c>
      <c r="F26" s="3" t="s">
        <v>43</v>
      </c>
      <c r="G26" s="4" t="s">
        <v>347</v>
      </c>
      <c r="H26" s="4" t="s">
        <v>348</v>
      </c>
      <c r="I26" s="4" t="s">
        <v>91</v>
      </c>
      <c r="J26" s="3" t="s">
        <v>71</v>
      </c>
      <c r="K26" s="4" t="s">
        <v>349</v>
      </c>
      <c r="L26" s="5" t="n">
        <v>50000</v>
      </c>
      <c r="M26" s="5" t="n">
        <v>75000</v>
      </c>
      <c r="N26" s="5" t="n">
        <v>90000</v>
      </c>
      <c r="O26" s="5" t="n">
        <v>100000</v>
      </c>
      <c r="P26" s="5" t="n">
        <v>120000</v>
      </c>
      <c r="Q26" s="5" t="n">
        <f aca="false">SUM(M26:P26)</f>
        <v>385000</v>
      </c>
      <c r="R26" s="3" t="s">
        <v>49</v>
      </c>
      <c r="S26" s="5" t="n">
        <v>600000</v>
      </c>
      <c r="T26" s="4" t="s">
        <v>350</v>
      </c>
      <c r="U26" s="4" t="s">
        <v>351</v>
      </c>
      <c r="V26" s="3" t="s">
        <v>352</v>
      </c>
      <c r="W26" s="5" t="n">
        <v>120000</v>
      </c>
      <c r="X26" s="4" t="s">
        <v>353</v>
      </c>
      <c r="Y26" s="4" t="s">
        <v>94</v>
      </c>
      <c r="Z26" s="4" t="s">
        <v>95</v>
      </c>
      <c r="AA26" s="4" t="s">
        <v>200</v>
      </c>
      <c r="AB26" s="3" t="s">
        <v>79</v>
      </c>
      <c r="AC26" s="4" t="s">
        <v>354</v>
      </c>
      <c r="AD26" s="4" t="s">
        <v>145</v>
      </c>
      <c r="AE26" s="3" t="s">
        <v>60</v>
      </c>
      <c r="AF26" s="3" t="s">
        <v>60</v>
      </c>
      <c r="AG26" s="4" t="n">
        <v>2</v>
      </c>
      <c r="AH26" s="4" t="s">
        <v>61</v>
      </c>
      <c r="AI26" s="4" t="s">
        <v>83</v>
      </c>
      <c r="AJ26" s="3" t="n">
        <v>9</v>
      </c>
      <c r="AK26" s="6" t="s">
        <v>355</v>
      </c>
      <c r="AL26" s="0" t="s">
        <v>64</v>
      </c>
    </row>
    <row r="27" customFormat="false" ht="15" hidden="false" customHeight="true" outlineLevel="0" collapsed="false">
      <c r="A27" s="3" t="s">
        <v>356</v>
      </c>
      <c r="B27" s="4" t="s">
        <v>357</v>
      </c>
      <c r="C27" s="4" t="s">
        <v>358</v>
      </c>
      <c r="D27" s="3" t="s">
        <v>41</v>
      </c>
      <c r="E27" s="3" t="s">
        <v>42</v>
      </c>
      <c r="F27" s="3" t="s">
        <v>43</v>
      </c>
      <c r="G27" s="4" t="s">
        <v>359</v>
      </c>
      <c r="H27" s="4" t="s">
        <v>360</v>
      </c>
      <c r="I27" s="4" t="s">
        <v>91</v>
      </c>
      <c r="J27" s="3" t="s">
        <v>152</v>
      </c>
      <c r="K27" s="4" t="s">
        <v>361</v>
      </c>
      <c r="L27" s="5" t="n">
        <v>20000</v>
      </c>
      <c r="M27" s="5" t="n">
        <v>25000</v>
      </c>
      <c r="N27" s="5" t="n">
        <v>30000</v>
      </c>
      <c r="O27" s="5" t="n">
        <v>40000</v>
      </c>
      <c r="P27" s="5" t="n">
        <v>50000</v>
      </c>
      <c r="Q27" s="5" t="n">
        <f aca="false">SUM(M27:P27)</f>
        <v>145000</v>
      </c>
      <c r="R27" s="3" t="s">
        <v>60</v>
      </c>
      <c r="S27" s="4"/>
      <c r="T27" s="4"/>
      <c r="U27" s="4"/>
      <c r="V27" s="3"/>
      <c r="W27" s="4"/>
      <c r="X27" s="4" t="s">
        <v>154</v>
      </c>
      <c r="Y27" s="4" t="s">
        <v>362</v>
      </c>
      <c r="Z27" s="4" t="s">
        <v>55</v>
      </c>
      <c r="AA27" s="4" t="s">
        <v>363</v>
      </c>
      <c r="AB27" s="3" t="s">
        <v>130</v>
      </c>
      <c r="AC27" s="4" t="s">
        <v>364</v>
      </c>
      <c r="AD27" s="4" t="s">
        <v>365</v>
      </c>
      <c r="AE27" s="3" t="s">
        <v>60</v>
      </c>
      <c r="AF27" s="3" t="s">
        <v>60</v>
      </c>
      <c r="AG27" s="4" t="n">
        <v>1</v>
      </c>
      <c r="AH27" s="4" t="s">
        <v>157</v>
      </c>
      <c r="AI27" s="4" t="s">
        <v>83</v>
      </c>
      <c r="AJ27" s="3" t="n">
        <v>7</v>
      </c>
      <c r="AK27" s="6" t="s">
        <v>366</v>
      </c>
      <c r="AL27" s="0" t="s">
        <v>102</v>
      </c>
    </row>
    <row r="28" customFormat="false" ht="23.25" hidden="false" customHeight="true" outlineLevel="0" collapsed="false">
      <c r="A28" s="3" t="s">
        <v>367</v>
      </c>
      <c r="B28" s="4" t="s">
        <v>368</v>
      </c>
      <c r="C28" s="4" t="s">
        <v>369</v>
      </c>
      <c r="D28" s="3" t="s">
        <v>106</v>
      </c>
      <c r="E28" s="3" t="s">
        <v>42</v>
      </c>
      <c r="F28" s="3" t="s">
        <v>43</v>
      </c>
      <c r="G28" s="4" t="s">
        <v>370</v>
      </c>
      <c r="H28" s="4" t="s">
        <v>371</v>
      </c>
      <c r="I28" s="4" t="s">
        <v>186</v>
      </c>
      <c r="J28" s="3" t="s">
        <v>208</v>
      </c>
      <c r="K28" s="4" t="s">
        <v>372</v>
      </c>
      <c r="L28" s="5" t="n">
        <v>10000</v>
      </c>
      <c r="M28" s="4" t="n">
        <v>0</v>
      </c>
      <c r="N28" s="4" t="n">
        <v>0</v>
      </c>
      <c r="O28" s="5" t="n">
        <v>10000</v>
      </c>
      <c r="P28" s="5" t="n">
        <v>15000</v>
      </c>
      <c r="Q28" s="5" t="n">
        <f aca="false">SUM(M28:P28)</f>
        <v>25000</v>
      </c>
      <c r="R28" s="3" t="s">
        <v>60</v>
      </c>
      <c r="S28" s="4"/>
      <c r="T28" s="4"/>
      <c r="U28" s="4"/>
      <c r="V28" s="3"/>
      <c r="W28" s="4"/>
      <c r="X28" s="4" t="s">
        <v>154</v>
      </c>
      <c r="Y28" s="4" t="s">
        <v>128</v>
      </c>
      <c r="Z28" s="4" t="s">
        <v>114</v>
      </c>
      <c r="AA28" s="4" t="s">
        <v>143</v>
      </c>
      <c r="AB28" s="3" t="s">
        <v>97</v>
      </c>
      <c r="AC28" s="4" t="s">
        <v>373</v>
      </c>
      <c r="AD28" s="4" t="s">
        <v>59</v>
      </c>
      <c r="AE28" s="3" t="s">
        <v>60</v>
      </c>
      <c r="AF28" s="3" t="s">
        <v>60</v>
      </c>
      <c r="AG28" s="4" t="n">
        <v>1</v>
      </c>
      <c r="AH28" s="4" t="s">
        <v>157</v>
      </c>
      <c r="AI28" s="4" t="s">
        <v>118</v>
      </c>
      <c r="AJ28" s="3" t="n">
        <v>6</v>
      </c>
      <c r="AK28" s="6" t="s">
        <v>374</v>
      </c>
      <c r="AL28" s="0" t="s">
        <v>64</v>
      </c>
    </row>
    <row r="29" customFormat="false" ht="23.25" hidden="false" customHeight="true" outlineLevel="0" collapsed="false">
      <c r="A29" s="3" t="s">
        <v>375</v>
      </c>
      <c r="B29" s="4" t="s">
        <v>376</v>
      </c>
      <c r="C29" s="4" t="s">
        <v>377</v>
      </c>
      <c r="D29" s="3" t="s">
        <v>106</v>
      </c>
      <c r="E29" s="3" t="s">
        <v>195</v>
      </c>
      <c r="F29" s="3" t="s">
        <v>196</v>
      </c>
      <c r="G29" s="4" t="s">
        <v>378</v>
      </c>
      <c r="H29" s="4" t="s">
        <v>379</v>
      </c>
      <c r="I29" s="4" t="s">
        <v>175</v>
      </c>
      <c r="J29" s="3" t="s">
        <v>221</v>
      </c>
      <c r="K29" s="4"/>
      <c r="L29" s="4"/>
      <c r="M29" s="4" t="n">
        <v>0</v>
      </c>
      <c r="N29" s="4" t="n">
        <v>0</v>
      </c>
      <c r="O29" s="4" t="n">
        <v>0</v>
      </c>
      <c r="P29" s="4" t="n">
        <v>0</v>
      </c>
      <c r="Q29" s="5" t="n">
        <f aca="false">SUM(M29:P29)</f>
        <v>0</v>
      </c>
      <c r="R29" s="3" t="s">
        <v>60</v>
      </c>
      <c r="S29" s="4"/>
      <c r="T29" s="4"/>
      <c r="U29" s="4"/>
      <c r="V29" s="3"/>
      <c r="W29" s="4"/>
      <c r="X29" s="4"/>
      <c r="Y29" s="4" t="s">
        <v>128</v>
      </c>
      <c r="Z29" s="4" t="s">
        <v>114</v>
      </c>
      <c r="AA29" s="4" t="s">
        <v>380</v>
      </c>
      <c r="AB29" s="3" t="s">
        <v>223</v>
      </c>
      <c r="AC29" s="4" t="s">
        <v>381</v>
      </c>
      <c r="AD29" s="4" t="s">
        <v>99</v>
      </c>
      <c r="AE29" s="3" t="s">
        <v>60</v>
      </c>
      <c r="AF29" s="3" t="s">
        <v>60</v>
      </c>
      <c r="AG29" s="4" t="n">
        <v>0</v>
      </c>
      <c r="AH29" s="4" t="s">
        <v>61</v>
      </c>
      <c r="AI29" s="4" t="s">
        <v>213</v>
      </c>
      <c r="AJ29" s="3" t="n">
        <v>7</v>
      </c>
      <c r="AK29" s="6" t="s">
        <v>382</v>
      </c>
      <c r="AL29" s="0" t="s">
        <v>64</v>
      </c>
    </row>
    <row r="30" customFormat="false" ht="23.25" hidden="false" customHeight="true" outlineLevel="0" collapsed="false">
      <c r="A30" s="3" t="s">
        <v>383</v>
      </c>
      <c r="B30" s="4" t="s">
        <v>384</v>
      </c>
      <c r="C30" s="4" t="s">
        <v>385</v>
      </c>
      <c r="D30" s="3" t="s">
        <v>68</v>
      </c>
      <c r="E30" s="3" t="s">
        <v>107</v>
      </c>
      <c r="F30" s="3" t="s">
        <v>196</v>
      </c>
      <c r="G30" s="4" t="s">
        <v>386</v>
      </c>
      <c r="H30" s="4" t="s">
        <v>387</v>
      </c>
      <c r="I30" s="4" t="s">
        <v>46</v>
      </c>
      <c r="J30" s="3" t="s">
        <v>221</v>
      </c>
      <c r="K30" s="4"/>
      <c r="L30" s="4"/>
      <c r="M30" s="4" t="n">
        <v>0</v>
      </c>
      <c r="N30" s="4" t="n">
        <v>0</v>
      </c>
      <c r="O30" s="4" t="n">
        <v>0</v>
      </c>
      <c r="P30" s="4" t="n">
        <v>0</v>
      </c>
      <c r="Q30" s="5" t="n">
        <f aca="false">SUM(M30:P30)</f>
        <v>0</v>
      </c>
      <c r="R30" s="3" t="s">
        <v>60</v>
      </c>
      <c r="S30" s="4"/>
      <c r="T30" s="4"/>
      <c r="U30" s="4"/>
      <c r="V30" s="3"/>
      <c r="W30" s="4"/>
      <c r="X30" s="4"/>
      <c r="Y30" s="4" t="s">
        <v>388</v>
      </c>
      <c r="Z30" s="4" t="s">
        <v>55</v>
      </c>
      <c r="AA30" s="4" t="s">
        <v>389</v>
      </c>
      <c r="AB30" s="3" t="s">
        <v>57</v>
      </c>
      <c r="AC30" s="4" t="s">
        <v>390</v>
      </c>
      <c r="AD30" s="4" t="s">
        <v>59</v>
      </c>
      <c r="AE30" s="3" t="s">
        <v>60</v>
      </c>
      <c r="AF30" s="3" t="s">
        <v>60</v>
      </c>
      <c r="AG30" s="4" t="n">
        <v>1</v>
      </c>
      <c r="AH30" s="4" t="s">
        <v>100</v>
      </c>
      <c r="AI30" s="4" t="s">
        <v>118</v>
      </c>
      <c r="AJ30" s="3" t="n">
        <v>7</v>
      </c>
      <c r="AK30" s="6" t="s">
        <v>391</v>
      </c>
      <c r="AL30" s="0" t="s">
        <v>64</v>
      </c>
    </row>
    <row r="31" customFormat="false" ht="23.25" hidden="false" customHeight="true" outlineLevel="0" collapsed="false">
      <c r="A31" s="3" t="s">
        <v>392</v>
      </c>
      <c r="B31" s="4" t="s">
        <v>393</v>
      </c>
      <c r="C31" s="4" t="s">
        <v>394</v>
      </c>
      <c r="D31" s="3" t="s">
        <v>41</v>
      </c>
      <c r="E31" s="3" t="s">
        <v>218</v>
      </c>
      <c r="F31" s="3" t="s">
        <v>196</v>
      </c>
      <c r="G31" s="4" t="s">
        <v>395</v>
      </c>
      <c r="H31" s="4" t="s">
        <v>396</v>
      </c>
      <c r="I31" s="4" t="s">
        <v>175</v>
      </c>
      <c r="J31" s="3" t="s">
        <v>221</v>
      </c>
      <c r="K31" s="4"/>
      <c r="L31" s="4"/>
      <c r="M31" s="4" t="n">
        <v>0</v>
      </c>
      <c r="N31" s="4" t="n">
        <v>0</v>
      </c>
      <c r="O31" s="4" t="n">
        <v>0</v>
      </c>
      <c r="P31" s="4" t="n">
        <v>0</v>
      </c>
      <c r="Q31" s="5" t="n">
        <f aca="false">SUM(M31:P31)</f>
        <v>0</v>
      </c>
      <c r="R31" s="3" t="s">
        <v>60</v>
      </c>
      <c r="S31" s="4"/>
      <c r="T31" s="4"/>
      <c r="U31" s="4"/>
      <c r="V31" s="3"/>
      <c r="W31" s="4"/>
      <c r="X31" s="4"/>
      <c r="Y31" s="4"/>
      <c r="Z31" s="4" t="s">
        <v>95</v>
      </c>
      <c r="AA31" s="4" t="s">
        <v>129</v>
      </c>
      <c r="AB31" s="3" t="s">
        <v>223</v>
      </c>
      <c r="AC31" s="4" t="s">
        <v>397</v>
      </c>
      <c r="AD31" s="4" t="s">
        <v>81</v>
      </c>
      <c r="AE31" s="3" t="s">
        <v>60</v>
      </c>
      <c r="AF31" s="3" t="s">
        <v>60</v>
      </c>
      <c r="AG31" s="4" t="n">
        <v>0</v>
      </c>
      <c r="AH31" s="4" t="s">
        <v>100</v>
      </c>
      <c r="AI31" s="4" t="s">
        <v>213</v>
      </c>
      <c r="AJ31" s="3" t="n">
        <v>6</v>
      </c>
      <c r="AK31" s="6" t="s">
        <v>398</v>
      </c>
      <c r="AL31" s="0" t="s">
        <v>64</v>
      </c>
    </row>
    <row r="32" customFormat="false" ht="23.25" hidden="false" customHeight="true" outlineLevel="0" collapsed="false">
      <c r="A32" s="3" t="s">
        <v>399</v>
      </c>
      <c r="B32" s="4" t="s">
        <v>400</v>
      </c>
      <c r="C32" s="4" t="s">
        <v>401</v>
      </c>
      <c r="D32" s="3" t="s">
        <v>68</v>
      </c>
      <c r="E32" s="3" t="s">
        <v>237</v>
      </c>
      <c r="F32" s="3" t="s">
        <v>196</v>
      </c>
      <c r="G32" s="4" t="s">
        <v>402</v>
      </c>
      <c r="H32" s="4" t="s">
        <v>403</v>
      </c>
      <c r="I32" s="4" t="s">
        <v>175</v>
      </c>
      <c r="J32" s="3" t="s">
        <v>221</v>
      </c>
      <c r="K32" s="4"/>
      <c r="L32" s="4"/>
      <c r="M32" s="4" t="n">
        <v>0</v>
      </c>
      <c r="N32" s="4" t="n">
        <v>0</v>
      </c>
      <c r="O32" s="4" t="n">
        <v>0</v>
      </c>
      <c r="P32" s="4" t="n">
        <v>0</v>
      </c>
      <c r="Q32" s="5" t="n">
        <f aca="false">SUM(M32:P32)</f>
        <v>0</v>
      </c>
      <c r="R32" s="3" t="s">
        <v>60</v>
      </c>
      <c r="S32" s="4"/>
      <c r="T32" s="4"/>
      <c r="U32" s="4"/>
      <c r="V32" s="3"/>
      <c r="W32" s="4"/>
      <c r="X32" s="4"/>
      <c r="Y32" s="4" t="s">
        <v>404</v>
      </c>
      <c r="Z32" s="4" t="s">
        <v>114</v>
      </c>
      <c r="AA32" s="4" t="s">
        <v>405</v>
      </c>
      <c r="AB32" s="3" t="s">
        <v>242</v>
      </c>
      <c r="AC32" s="4" t="s">
        <v>406</v>
      </c>
      <c r="AD32" s="4" t="s">
        <v>407</v>
      </c>
      <c r="AE32" s="3" t="s">
        <v>60</v>
      </c>
      <c r="AF32" s="3" t="s">
        <v>60</v>
      </c>
      <c r="AG32" s="4" t="n">
        <v>1</v>
      </c>
      <c r="AH32" s="4" t="s">
        <v>100</v>
      </c>
      <c r="AI32" s="4" t="s">
        <v>118</v>
      </c>
      <c r="AJ32" s="3" t="n">
        <v>7</v>
      </c>
      <c r="AK32" s="6" t="s">
        <v>408</v>
      </c>
      <c r="AL32" s="0" t="s">
        <v>85</v>
      </c>
    </row>
    <row r="33" customFormat="false" ht="23.25" hidden="false" customHeight="true" outlineLevel="0" collapsed="false">
      <c r="A33" s="3" t="s">
        <v>409</v>
      </c>
      <c r="B33" s="4" t="s">
        <v>410</v>
      </c>
      <c r="C33" s="4" t="s">
        <v>411</v>
      </c>
      <c r="D33" s="3" t="s">
        <v>41</v>
      </c>
      <c r="E33" s="3" t="s">
        <v>195</v>
      </c>
      <c r="F33" s="3" t="s">
        <v>196</v>
      </c>
      <c r="G33" s="4" t="s">
        <v>412</v>
      </c>
      <c r="H33" s="4" t="s">
        <v>413</v>
      </c>
      <c r="I33" s="4" t="s">
        <v>110</v>
      </c>
      <c r="J33" s="3" t="s">
        <v>221</v>
      </c>
      <c r="K33" s="4"/>
      <c r="L33" s="4"/>
      <c r="M33" s="4" t="n">
        <v>0</v>
      </c>
      <c r="N33" s="4" t="n">
        <v>0</v>
      </c>
      <c r="O33" s="4" t="n">
        <v>0</v>
      </c>
      <c r="P33" s="4" t="n">
        <v>0</v>
      </c>
      <c r="Q33" s="5" t="n">
        <f aca="false">SUM(M33:P33)</f>
        <v>0</v>
      </c>
      <c r="R33" s="3" t="s">
        <v>60</v>
      </c>
      <c r="S33" s="4"/>
      <c r="T33" s="4"/>
      <c r="U33" s="4"/>
      <c r="V33" s="3"/>
      <c r="W33" s="4"/>
      <c r="X33" s="4"/>
      <c r="Y33" s="4" t="s">
        <v>414</v>
      </c>
      <c r="Z33" s="4" t="s">
        <v>55</v>
      </c>
      <c r="AA33" s="4" t="s">
        <v>341</v>
      </c>
      <c r="AB33" s="3" t="s">
        <v>79</v>
      </c>
      <c r="AC33" s="4" t="s">
        <v>415</v>
      </c>
      <c r="AD33" s="4" t="s">
        <v>312</v>
      </c>
      <c r="AE33" s="3" t="s">
        <v>60</v>
      </c>
      <c r="AF33" s="3" t="s">
        <v>60</v>
      </c>
      <c r="AG33" s="4" t="n">
        <v>0</v>
      </c>
      <c r="AH33" s="4" t="s">
        <v>61</v>
      </c>
      <c r="AI33" s="4" t="s">
        <v>213</v>
      </c>
      <c r="AJ33" s="3" t="n">
        <v>7</v>
      </c>
      <c r="AK33" s="6" t="s">
        <v>416</v>
      </c>
      <c r="AL33" s="0" t="s">
        <v>102</v>
      </c>
    </row>
    <row r="34" customFormat="false" ht="23.25" hidden="false" customHeight="true" outlineLevel="0" collapsed="false">
      <c r="A34" s="3" t="s">
        <v>417</v>
      </c>
      <c r="B34" s="4" t="s">
        <v>418</v>
      </c>
      <c r="C34" s="4" t="s">
        <v>419</v>
      </c>
      <c r="D34" s="3" t="s">
        <v>106</v>
      </c>
      <c r="E34" s="3" t="s">
        <v>107</v>
      </c>
      <c r="F34" s="3" t="s">
        <v>196</v>
      </c>
      <c r="G34" s="4" t="s">
        <v>420</v>
      </c>
      <c r="H34" s="4" t="s">
        <v>421</v>
      </c>
      <c r="I34" s="4" t="s">
        <v>91</v>
      </c>
      <c r="J34" s="3" t="s">
        <v>208</v>
      </c>
      <c r="K34" s="4" t="s">
        <v>231</v>
      </c>
      <c r="L34" s="5" t="n">
        <v>15000</v>
      </c>
      <c r="M34" s="4" t="n">
        <v>0</v>
      </c>
      <c r="N34" s="4" t="n">
        <v>0</v>
      </c>
      <c r="O34" s="4" t="n">
        <v>0</v>
      </c>
      <c r="P34" s="5" t="n">
        <v>15000</v>
      </c>
      <c r="Q34" s="5" t="n">
        <f aca="false">SUM(M34:P34)</f>
        <v>15000</v>
      </c>
      <c r="R34" s="3" t="s">
        <v>60</v>
      </c>
      <c r="S34" s="4"/>
      <c r="T34" s="4"/>
      <c r="U34" s="4"/>
      <c r="V34" s="3"/>
      <c r="W34" s="4"/>
      <c r="X34" s="4" t="s">
        <v>154</v>
      </c>
      <c r="Y34" s="4" t="s">
        <v>77</v>
      </c>
      <c r="Z34" s="4" t="s">
        <v>95</v>
      </c>
      <c r="AA34" s="4" t="s">
        <v>231</v>
      </c>
      <c r="AB34" s="3" t="s">
        <v>178</v>
      </c>
      <c r="AC34" s="4" t="s">
        <v>422</v>
      </c>
      <c r="AD34" s="4" t="s">
        <v>81</v>
      </c>
      <c r="AE34" s="3" t="s">
        <v>60</v>
      </c>
      <c r="AF34" s="3" t="s">
        <v>60</v>
      </c>
      <c r="AG34" s="4" t="n">
        <v>1</v>
      </c>
      <c r="AH34" s="4" t="s">
        <v>157</v>
      </c>
      <c r="AI34" s="4" t="s">
        <v>118</v>
      </c>
      <c r="AJ34" s="3" t="n">
        <v>6</v>
      </c>
      <c r="AK34" s="6" t="s">
        <v>423</v>
      </c>
      <c r="AL34" s="0" t="s">
        <v>85</v>
      </c>
    </row>
    <row r="35" customFormat="false" ht="23.25" hidden="false" customHeight="true" outlineLevel="0" collapsed="false">
      <c r="A35" s="3" t="s">
        <v>424</v>
      </c>
      <c r="B35" s="4" t="s">
        <v>425</v>
      </c>
      <c r="C35" s="4" t="s">
        <v>426</v>
      </c>
      <c r="D35" s="3" t="s">
        <v>68</v>
      </c>
      <c r="E35" s="3" t="s">
        <v>249</v>
      </c>
      <c r="F35" s="3" t="s">
        <v>250</v>
      </c>
      <c r="G35" s="4" t="s">
        <v>427</v>
      </c>
      <c r="H35" s="4" t="s">
        <v>428</v>
      </c>
      <c r="I35" s="4" t="s">
        <v>110</v>
      </c>
      <c r="J35" s="3" t="s">
        <v>71</v>
      </c>
      <c r="K35" s="4" t="s">
        <v>429</v>
      </c>
      <c r="L35" s="5" t="n">
        <v>100000</v>
      </c>
      <c r="M35" s="5" t="n">
        <v>120000</v>
      </c>
      <c r="N35" s="5" t="n">
        <v>100000</v>
      </c>
      <c r="O35" s="5" t="n">
        <v>50000</v>
      </c>
      <c r="P35" s="4" t="n">
        <v>0</v>
      </c>
      <c r="Q35" s="5" t="n">
        <f aca="false">SUM(M35:P35)</f>
        <v>270000</v>
      </c>
      <c r="R35" s="3" t="s">
        <v>60</v>
      </c>
      <c r="S35" s="4"/>
      <c r="T35" s="4"/>
      <c r="U35" s="4"/>
      <c r="V35" s="3"/>
      <c r="W35" s="4"/>
      <c r="X35" s="4" t="s">
        <v>430</v>
      </c>
      <c r="Y35" s="4" t="s">
        <v>128</v>
      </c>
      <c r="Z35" s="4" t="s">
        <v>55</v>
      </c>
      <c r="AA35" s="4" t="s">
        <v>431</v>
      </c>
      <c r="AB35" s="3" t="s">
        <v>79</v>
      </c>
      <c r="AC35" s="4" t="s">
        <v>432</v>
      </c>
      <c r="AD35" s="4" t="s">
        <v>145</v>
      </c>
      <c r="AE35" s="3" t="s">
        <v>60</v>
      </c>
      <c r="AF35" s="3" t="s">
        <v>258</v>
      </c>
      <c r="AG35" s="4" t="n">
        <v>0</v>
      </c>
      <c r="AH35" s="4" t="s">
        <v>61</v>
      </c>
      <c r="AI35" s="4" t="s">
        <v>118</v>
      </c>
      <c r="AJ35" s="3" t="n">
        <v>8</v>
      </c>
      <c r="AK35" s="6" t="s">
        <v>433</v>
      </c>
      <c r="AL35" s="0" t="s">
        <v>64</v>
      </c>
    </row>
    <row r="36" customFormat="false" ht="23.25" hidden="false" customHeight="true" outlineLevel="0" collapsed="false">
      <c r="A36" s="3" t="s">
        <v>434</v>
      </c>
      <c r="B36" s="4" t="s">
        <v>435</v>
      </c>
      <c r="C36" s="4" t="s">
        <v>436</v>
      </c>
      <c r="D36" s="3" t="s">
        <v>106</v>
      </c>
      <c r="E36" s="3" t="s">
        <v>249</v>
      </c>
      <c r="F36" s="3" t="s">
        <v>250</v>
      </c>
      <c r="G36" s="4" t="s">
        <v>437</v>
      </c>
      <c r="H36" s="4" t="s">
        <v>438</v>
      </c>
      <c r="I36" s="4" t="s">
        <v>139</v>
      </c>
      <c r="J36" s="3" t="s">
        <v>208</v>
      </c>
      <c r="K36" s="4" t="s">
        <v>439</v>
      </c>
      <c r="L36" s="5" t="n">
        <v>10000</v>
      </c>
      <c r="M36" s="5" t="n">
        <v>10000</v>
      </c>
      <c r="N36" s="5" t="n">
        <v>15000</v>
      </c>
      <c r="O36" s="5" t="n">
        <v>10000</v>
      </c>
      <c r="P36" s="4" t="n">
        <v>0</v>
      </c>
      <c r="Q36" s="5" t="n">
        <f aca="false">SUM(M36:P36)</f>
        <v>35000</v>
      </c>
      <c r="R36" s="3" t="s">
        <v>60</v>
      </c>
      <c r="S36" s="4"/>
      <c r="T36" s="4"/>
      <c r="U36" s="4"/>
      <c r="V36" s="3"/>
      <c r="W36" s="4"/>
      <c r="X36" s="4" t="s">
        <v>154</v>
      </c>
      <c r="Y36" s="4" t="s">
        <v>128</v>
      </c>
      <c r="Z36" s="4" t="s">
        <v>95</v>
      </c>
      <c r="AA36" s="4" t="s">
        <v>277</v>
      </c>
      <c r="AB36" s="3" t="s">
        <v>267</v>
      </c>
      <c r="AC36" s="4" t="s">
        <v>440</v>
      </c>
      <c r="AD36" s="4" t="s">
        <v>81</v>
      </c>
      <c r="AE36" s="3" t="s">
        <v>60</v>
      </c>
      <c r="AF36" s="3" t="s">
        <v>60</v>
      </c>
      <c r="AG36" s="4" t="n">
        <v>0</v>
      </c>
      <c r="AH36" s="4" t="s">
        <v>157</v>
      </c>
      <c r="AI36" s="4" t="s">
        <v>213</v>
      </c>
      <c r="AJ36" s="3" t="n">
        <v>5</v>
      </c>
      <c r="AK36" s="6" t="s">
        <v>441</v>
      </c>
      <c r="AL36" s="0" t="s">
        <v>85</v>
      </c>
    </row>
    <row r="37" customFormat="false" ht="23.25" hidden="false" customHeight="true" outlineLevel="0" collapsed="false">
      <c r="A37" s="3" t="s">
        <v>442</v>
      </c>
      <c r="B37" s="4" t="s">
        <v>443</v>
      </c>
      <c r="C37" s="4" t="s">
        <v>444</v>
      </c>
      <c r="D37" s="3" t="s">
        <v>41</v>
      </c>
      <c r="E37" s="3" t="s">
        <v>249</v>
      </c>
      <c r="F37" s="3" t="s">
        <v>250</v>
      </c>
      <c r="G37" s="4" t="s">
        <v>445</v>
      </c>
      <c r="H37" s="4" t="s">
        <v>446</v>
      </c>
      <c r="I37" s="4" t="s">
        <v>125</v>
      </c>
      <c r="J37" s="3" t="s">
        <v>152</v>
      </c>
      <c r="K37" s="4" t="s">
        <v>447</v>
      </c>
      <c r="L37" s="5" t="n">
        <v>30000</v>
      </c>
      <c r="M37" s="5" t="n">
        <v>40000</v>
      </c>
      <c r="N37" s="5" t="n">
        <v>50000</v>
      </c>
      <c r="O37" s="4" t="n">
        <v>0</v>
      </c>
      <c r="P37" s="4" t="n">
        <v>0</v>
      </c>
      <c r="Q37" s="5" t="n">
        <f aca="false">SUM(M37:P37)</f>
        <v>90000</v>
      </c>
      <c r="R37" s="3" t="s">
        <v>60</v>
      </c>
      <c r="S37" s="4"/>
      <c r="T37" s="4"/>
      <c r="U37" s="4"/>
      <c r="V37" s="3"/>
      <c r="W37" s="4"/>
      <c r="X37" s="4" t="s">
        <v>448</v>
      </c>
      <c r="Y37" s="4" t="s">
        <v>449</v>
      </c>
      <c r="Z37" s="4" t="s">
        <v>114</v>
      </c>
      <c r="AA37" s="4" t="s">
        <v>450</v>
      </c>
      <c r="AB37" s="3" t="s">
        <v>256</v>
      </c>
      <c r="AC37" s="4" t="s">
        <v>451</v>
      </c>
      <c r="AD37" s="4" t="s">
        <v>99</v>
      </c>
      <c r="AE37" s="3" t="s">
        <v>60</v>
      </c>
      <c r="AF37" s="3" t="s">
        <v>60</v>
      </c>
      <c r="AG37" s="4" t="n">
        <v>0</v>
      </c>
      <c r="AH37" s="4" t="s">
        <v>100</v>
      </c>
      <c r="AI37" s="4" t="s">
        <v>118</v>
      </c>
      <c r="AJ37" s="3" t="n">
        <v>7</v>
      </c>
      <c r="AK37" s="6" t="s">
        <v>452</v>
      </c>
      <c r="AL37" s="0" t="s">
        <v>64</v>
      </c>
    </row>
    <row r="38" customFormat="false" ht="15" hidden="false" customHeight="true" outlineLevel="0" collapsed="false">
      <c r="A38" s="3" t="s">
        <v>453</v>
      </c>
      <c r="B38" s="4" t="s">
        <v>454</v>
      </c>
      <c r="C38" s="4" t="s">
        <v>455</v>
      </c>
      <c r="D38" s="3" t="s">
        <v>106</v>
      </c>
      <c r="E38" s="3" t="s">
        <v>273</v>
      </c>
      <c r="F38" s="3" t="s">
        <v>274</v>
      </c>
      <c r="G38" s="4" t="s">
        <v>456</v>
      </c>
      <c r="H38" s="4" t="s">
        <v>457</v>
      </c>
      <c r="I38" s="4" t="s">
        <v>110</v>
      </c>
      <c r="J38" s="3" t="s">
        <v>221</v>
      </c>
      <c r="K38" s="4"/>
      <c r="L38" s="4"/>
      <c r="M38" s="4" t="n">
        <v>0</v>
      </c>
      <c r="N38" s="4" t="n">
        <v>0</v>
      </c>
      <c r="O38" s="4" t="n">
        <v>0</v>
      </c>
      <c r="P38" s="4" t="n">
        <v>0</v>
      </c>
      <c r="Q38" s="5" t="n">
        <f aca="false">SUM(M38:P38)</f>
        <v>0</v>
      </c>
      <c r="R38" s="3" t="s">
        <v>60</v>
      </c>
      <c r="S38" s="4"/>
      <c r="T38" s="4"/>
      <c r="U38" s="4"/>
      <c r="V38" s="3"/>
      <c r="W38" s="4"/>
      <c r="X38" s="4"/>
      <c r="Y38" s="4"/>
      <c r="Z38" s="4" t="s">
        <v>114</v>
      </c>
      <c r="AA38" s="4" t="s">
        <v>458</v>
      </c>
      <c r="AB38" s="3" t="s">
        <v>57</v>
      </c>
      <c r="AC38" s="4" t="s">
        <v>459</v>
      </c>
      <c r="AD38" s="4" t="s">
        <v>460</v>
      </c>
      <c r="AE38" s="3" t="s">
        <v>60</v>
      </c>
      <c r="AF38" s="3" t="s">
        <v>60</v>
      </c>
      <c r="AG38" s="4" t="n">
        <v>0</v>
      </c>
      <c r="AH38" s="4" t="s">
        <v>61</v>
      </c>
      <c r="AI38" s="4" t="s">
        <v>280</v>
      </c>
      <c r="AJ38" s="3" t="n">
        <v>6</v>
      </c>
      <c r="AK38" s="6" t="s">
        <v>461</v>
      </c>
      <c r="AL38" s="0" t="s">
        <v>102</v>
      </c>
    </row>
    <row r="39" customFormat="false" ht="23.25" hidden="false" customHeight="true" outlineLevel="0" collapsed="false">
      <c r="A39" s="3" t="s">
        <v>462</v>
      </c>
      <c r="B39" s="4" t="s">
        <v>463</v>
      </c>
      <c r="C39" s="4" t="s">
        <v>464</v>
      </c>
      <c r="D39" s="3" t="s">
        <v>106</v>
      </c>
      <c r="E39" s="3" t="s">
        <v>273</v>
      </c>
      <c r="F39" s="3" t="s">
        <v>274</v>
      </c>
      <c r="G39" s="4" t="s">
        <v>465</v>
      </c>
      <c r="H39" s="4" t="s">
        <v>466</v>
      </c>
      <c r="I39" s="4" t="s">
        <v>110</v>
      </c>
      <c r="J39" s="3" t="s">
        <v>221</v>
      </c>
      <c r="K39" s="4"/>
      <c r="L39" s="4"/>
      <c r="M39" s="4" t="n">
        <v>0</v>
      </c>
      <c r="N39" s="4" t="n">
        <v>0</v>
      </c>
      <c r="O39" s="4" t="n">
        <v>0</v>
      </c>
      <c r="P39" s="4" t="n">
        <v>0</v>
      </c>
      <c r="Q39" s="5" t="n">
        <f aca="false">SUM(M39:P39)</f>
        <v>0</v>
      </c>
      <c r="R39" s="3" t="s">
        <v>60</v>
      </c>
      <c r="S39" s="4"/>
      <c r="T39" s="4"/>
      <c r="U39" s="4"/>
      <c r="V39" s="3"/>
      <c r="W39" s="4"/>
      <c r="X39" s="4"/>
      <c r="Y39" s="4"/>
      <c r="Z39" s="4" t="s">
        <v>55</v>
      </c>
      <c r="AA39" s="4" t="s">
        <v>467</v>
      </c>
      <c r="AB39" s="3" t="s">
        <v>97</v>
      </c>
      <c r="AC39" s="4" t="s">
        <v>468</v>
      </c>
      <c r="AD39" s="4" t="s">
        <v>469</v>
      </c>
      <c r="AE39" s="3" t="s">
        <v>60</v>
      </c>
      <c r="AF39" s="3" t="s">
        <v>60</v>
      </c>
      <c r="AG39" s="4" t="n">
        <v>1</v>
      </c>
      <c r="AH39" s="4" t="s">
        <v>100</v>
      </c>
      <c r="AI39" s="4" t="s">
        <v>280</v>
      </c>
      <c r="AJ39" s="3" t="n">
        <v>5</v>
      </c>
      <c r="AK39" s="6" t="s">
        <v>470</v>
      </c>
      <c r="AL39" s="0" t="s">
        <v>64</v>
      </c>
    </row>
    <row r="40" customFormat="false" ht="23.25" hidden="false" customHeight="true" outlineLevel="0" collapsed="false">
      <c r="A40" s="3" t="s">
        <v>471</v>
      </c>
      <c r="B40" s="4" t="s">
        <v>472</v>
      </c>
      <c r="C40" s="4" t="s">
        <v>473</v>
      </c>
      <c r="D40" s="3" t="s">
        <v>41</v>
      </c>
      <c r="E40" s="3" t="s">
        <v>42</v>
      </c>
      <c r="F40" s="3" t="s">
        <v>43</v>
      </c>
      <c r="G40" s="4" t="s">
        <v>474</v>
      </c>
      <c r="H40" s="4" t="s">
        <v>475</v>
      </c>
      <c r="I40" s="4" t="s">
        <v>110</v>
      </c>
      <c r="J40" s="3" t="s">
        <v>71</v>
      </c>
      <c r="K40" s="4" t="s">
        <v>476</v>
      </c>
      <c r="L40" s="5" t="n">
        <v>60000</v>
      </c>
      <c r="M40" s="5" t="n">
        <v>80000</v>
      </c>
      <c r="N40" s="5" t="n">
        <v>90000</v>
      </c>
      <c r="O40" s="5" t="n">
        <v>100000</v>
      </c>
      <c r="P40" s="5" t="n">
        <v>110000</v>
      </c>
      <c r="Q40" s="5" t="n">
        <f aca="false">SUM(M40:P40)</f>
        <v>380000</v>
      </c>
      <c r="R40" s="3" t="s">
        <v>49</v>
      </c>
      <c r="S40" s="5" t="n">
        <v>550000</v>
      </c>
      <c r="T40" s="4" t="s">
        <v>350</v>
      </c>
      <c r="U40" s="4" t="s">
        <v>351</v>
      </c>
      <c r="V40" s="3" t="s">
        <v>352</v>
      </c>
      <c r="W40" s="5" t="n">
        <v>110000</v>
      </c>
      <c r="X40" s="4" t="s">
        <v>477</v>
      </c>
      <c r="Y40" s="4" t="s">
        <v>478</v>
      </c>
      <c r="Z40" s="4" t="s">
        <v>55</v>
      </c>
      <c r="AA40" s="4" t="s">
        <v>189</v>
      </c>
      <c r="AB40" s="3" t="s">
        <v>57</v>
      </c>
      <c r="AC40" s="4" t="s">
        <v>479</v>
      </c>
      <c r="AD40" s="4" t="s">
        <v>480</v>
      </c>
      <c r="AE40" s="3" t="s">
        <v>60</v>
      </c>
      <c r="AF40" s="3" t="s">
        <v>49</v>
      </c>
      <c r="AG40" s="4" t="n">
        <v>3</v>
      </c>
      <c r="AH40" s="4" t="s">
        <v>61</v>
      </c>
      <c r="AI40" s="4" t="s">
        <v>83</v>
      </c>
      <c r="AJ40" s="3" t="n">
        <v>9</v>
      </c>
      <c r="AK40" s="6" t="s">
        <v>481</v>
      </c>
      <c r="AL40" s="0" t="s">
        <v>102</v>
      </c>
    </row>
    <row r="41" customFormat="false" ht="23.25" hidden="false" customHeight="true" outlineLevel="0" collapsed="false">
      <c r="A41" s="3" t="s">
        <v>482</v>
      </c>
      <c r="B41" s="4" t="s">
        <v>483</v>
      </c>
      <c r="C41" s="4" t="s">
        <v>484</v>
      </c>
      <c r="D41" s="3" t="s">
        <v>68</v>
      </c>
      <c r="E41" s="3" t="s">
        <v>42</v>
      </c>
      <c r="F41" s="3" t="s">
        <v>43</v>
      </c>
      <c r="G41" s="4" t="s">
        <v>485</v>
      </c>
      <c r="H41" s="4" t="s">
        <v>486</v>
      </c>
      <c r="I41" s="4" t="s">
        <v>46</v>
      </c>
      <c r="J41" s="3" t="s">
        <v>152</v>
      </c>
      <c r="K41" s="4" t="s">
        <v>487</v>
      </c>
      <c r="L41" s="5" t="n">
        <v>25000</v>
      </c>
      <c r="M41" s="4" t="n">
        <v>0</v>
      </c>
      <c r="N41" s="4" t="n">
        <v>0</v>
      </c>
      <c r="O41" s="5" t="n">
        <v>25000</v>
      </c>
      <c r="P41" s="5" t="n">
        <v>40000</v>
      </c>
      <c r="Q41" s="5" t="n">
        <f aca="false">SUM(M41:P41)</f>
        <v>65000</v>
      </c>
      <c r="R41" s="3" t="s">
        <v>60</v>
      </c>
      <c r="S41" s="4"/>
      <c r="T41" s="4"/>
      <c r="U41" s="4"/>
      <c r="V41" s="3"/>
      <c r="W41" s="4"/>
      <c r="X41" s="4" t="s">
        <v>154</v>
      </c>
      <c r="Y41" s="4" t="s">
        <v>77</v>
      </c>
      <c r="Z41" s="4" t="s">
        <v>95</v>
      </c>
      <c r="AA41" s="4" t="s">
        <v>115</v>
      </c>
      <c r="AB41" s="3" t="s">
        <v>97</v>
      </c>
      <c r="AC41" s="4" t="s">
        <v>488</v>
      </c>
      <c r="AD41" s="4" t="s">
        <v>99</v>
      </c>
      <c r="AE41" s="3" t="s">
        <v>60</v>
      </c>
      <c r="AF41" s="3" t="s">
        <v>60</v>
      </c>
      <c r="AG41" s="4" t="n">
        <v>1</v>
      </c>
      <c r="AH41" s="4" t="s">
        <v>157</v>
      </c>
      <c r="AI41" s="4" t="s">
        <v>83</v>
      </c>
      <c r="AJ41" s="3" t="n">
        <v>7</v>
      </c>
      <c r="AK41" s="6" t="s">
        <v>489</v>
      </c>
      <c r="AL41" s="0" t="s">
        <v>85</v>
      </c>
    </row>
    <row r="42" customFormat="false" ht="15" hidden="false" customHeight="true" outlineLevel="0" collapsed="false">
      <c r="A42" s="3" t="s">
        <v>490</v>
      </c>
      <c r="B42" s="4" t="s">
        <v>491</v>
      </c>
      <c r="C42" s="4" t="s">
        <v>492</v>
      </c>
      <c r="D42" s="3" t="s">
        <v>41</v>
      </c>
      <c r="E42" s="3" t="s">
        <v>42</v>
      </c>
      <c r="F42" s="3" t="s">
        <v>43</v>
      </c>
      <c r="G42" s="4" t="s">
        <v>493</v>
      </c>
      <c r="H42" s="4" t="s">
        <v>494</v>
      </c>
      <c r="I42" s="4" t="s">
        <v>46</v>
      </c>
      <c r="J42" s="3" t="s">
        <v>152</v>
      </c>
      <c r="K42" s="4" t="s">
        <v>495</v>
      </c>
      <c r="L42" s="5" t="n">
        <v>20000</v>
      </c>
      <c r="M42" s="5" t="n">
        <v>25000</v>
      </c>
      <c r="N42" s="5" t="n">
        <v>30000</v>
      </c>
      <c r="O42" s="5" t="n">
        <v>35000</v>
      </c>
      <c r="P42" s="5" t="n">
        <v>45000</v>
      </c>
      <c r="Q42" s="5" t="n">
        <f aca="false">SUM(M42:P42)</f>
        <v>135000</v>
      </c>
      <c r="R42" s="3" t="s">
        <v>60</v>
      </c>
      <c r="S42" s="4"/>
      <c r="T42" s="4"/>
      <c r="U42" s="4"/>
      <c r="V42" s="3"/>
      <c r="W42" s="4"/>
      <c r="X42" s="4" t="s">
        <v>496</v>
      </c>
      <c r="Y42" s="4" t="s">
        <v>331</v>
      </c>
      <c r="Z42" s="4" t="s">
        <v>95</v>
      </c>
      <c r="AA42" s="4" t="s">
        <v>129</v>
      </c>
      <c r="AB42" s="3" t="s">
        <v>79</v>
      </c>
      <c r="AC42" s="4" t="s">
        <v>497</v>
      </c>
      <c r="AD42" s="4" t="s">
        <v>333</v>
      </c>
      <c r="AE42" s="3" t="s">
        <v>60</v>
      </c>
      <c r="AF42" s="3" t="s">
        <v>60</v>
      </c>
      <c r="AG42" s="4" t="n">
        <v>2</v>
      </c>
      <c r="AH42" s="4" t="s">
        <v>157</v>
      </c>
      <c r="AI42" s="4" t="s">
        <v>83</v>
      </c>
      <c r="AJ42" s="3" t="n">
        <v>7</v>
      </c>
      <c r="AK42" s="6" t="s">
        <v>498</v>
      </c>
      <c r="AL42" s="0" t="s">
        <v>85</v>
      </c>
    </row>
    <row r="43" customFormat="false" ht="15" hidden="false" customHeight="true" outlineLevel="0" collapsed="false">
      <c r="A43" s="3" t="s">
        <v>499</v>
      </c>
      <c r="B43" s="4" t="s">
        <v>500</v>
      </c>
      <c r="C43" s="4" t="s">
        <v>501</v>
      </c>
      <c r="D43" s="3" t="s">
        <v>106</v>
      </c>
      <c r="E43" s="3" t="s">
        <v>107</v>
      </c>
      <c r="F43" s="3" t="s">
        <v>43</v>
      </c>
      <c r="G43" s="4" t="s">
        <v>502</v>
      </c>
      <c r="H43" s="4" t="s">
        <v>503</v>
      </c>
      <c r="I43" s="4" t="s">
        <v>175</v>
      </c>
      <c r="J43" s="3" t="s">
        <v>152</v>
      </c>
      <c r="K43" s="4" t="s">
        <v>504</v>
      </c>
      <c r="L43" s="5" t="n">
        <v>30000</v>
      </c>
      <c r="M43" s="4" t="n">
        <v>0</v>
      </c>
      <c r="N43" s="4" t="n">
        <v>0</v>
      </c>
      <c r="O43" s="4" t="n">
        <v>0</v>
      </c>
      <c r="P43" s="5" t="n">
        <v>30000</v>
      </c>
      <c r="Q43" s="5" t="n">
        <f aca="false">SUM(M43:P43)</f>
        <v>30000</v>
      </c>
      <c r="R43" s="3" t="s">
        <v>60</v>
      </c>
      <c r="S43" s="4"/>
      <c r="T43" s="4"/>
      <c r="U43" s="4"/>
      <c r="V43" s="3"/>
      <c r="W43" s="4"/>
      <c r="X43" s="4" t="s">
        <v>154</v>
      </c>
      <c r="Y43" s="4" t="s">
        <v>113</v>
      </c>
      <c r="Z43" s="4" t="s">
        <v>114</v>
      </c>
      <c r="AA43" s="4" t="s">
        <v>96</v>
      </c>
      <c r="AB43" s="3" t="s">
        <v>57</v>
      </c>
      <c r="AC43" s="4" t="s">
        <v>505</v>
      </c>
      <c r="AD43" s="4" t="s">
        <v>59</v>
      </c>
      <c r="AE43" s="3" t="s">
        <v>60</v>
      </c>
      <c r="AF43" s="3" t="s">
        <v>60</v>
      </c>
      <c r="AG43" s="4" t="n">
        <v>1</v>
      </c>
      <c r="AH43" s="4" t="s">
        <v>100</v>
      </c>
      <c r="AI43" s="4" t="s">
        <v>118</v>
      </c>
      <c r="AJ43" s="3" t="n">
        <v>7</v>
      </c>
      <c r="AK43" s="6" t="s">
        <v>506</v>
      </c>
      <c r="AL43" s="0" t="s">
        <v>102</v>
      </c>
    </row>
    <row r="44" customFormat="false" ht="23.25" hidden="false" customHeight="true" outlineLevel="0" collapsed="false">
      <c r="A44" s="3" t="s">
        <v>507</v>
      </c>
      <c r="B44" s="4" t="s">
        <v>508</v>
      </c>
      <c r="C44" s="4" t="s">
        <v>509</v>
      </c>
      <c r="D44" s="3" t="s">
        <v>41</v>
      </c>
      <c r="E44" s="3" t="s">
        <v>42</v>
      </c>
      <c r="F44" s="3" t="s">
        <v>43</v>
      </c>
      <c r="G44" s="4" t="s">
        <v>510</v>
      </c>
      <c r="H44" s="4" t="s">
        <v>511</v>
      </c>
      <c r="I44" s="4" t="s">
        <v>110</v>
      </c>
      <c r="J44" s="3" t="s">
        <v>71</v>
      </c>
      <c r="K44" s="4" t="s">
        <v>512</v>
      </c>
      <c r="L44" s="5" t="n">
        <v>75000</v>
      </c>
      <c r="M44" s="5" t="n">
        <v>90000</v>
      </c>
      <c r="N44" s="5" t="n">
        <v>100000</v>
      </c>
      <c r="O44" s="5" t="n">
        <v>110000</v>
      </c>
      <c r="P44" s="5" t="n">
        <v>120000</v>
      </c>
      <c r="Q44" s="5" t="n">
        <f aca="false">SUM(M44:P44)</f>
        <v>420000</v>
      </c>
      <c r="R44" s="3" t="s">
        <v>49</v>
      </c>
      <c r="S44" s="5" t="n">
        <v>600000</v>
      </c>
      <c r="T44" s="4" t="s">
        <v>73</v>
      </c>
      <c r="U44" s="4" t="s">
        <v>74</v>
      </c>
      <c r="V44" s="3" t="s">
        <v>75</v>
      </c>
      <c r="W44" s="5" t="n">
        <v>120000</v>
      </c>
      <c r="X44" s="4" t="s">
        <v>513</v>
      </c>
      <c r="Y44" s="4" t="s">
        <v>514</v>
      </c>
      <c r="Z44" s="4" t="s">
        <v>55</v>
      </c>
      <c r="AA44" s="4" t="s">
        <v>167</v>
      </c>
      <c r="AB44" s="3" t="s">
        <v>79</v>
      </c>
      <c r="AC44" s="4" t="s">
        <v>515</v>
      </c>
      <c r="AD44" s="4" t="s">
        <v>117</v>
      </c>
      <c r="AE44" s="3" t="s">
        <v>60</v>
      </c>
      <c r="AF44" s="3" t="s">
        <v>60</v>
      </c>
      <c r="AG44" s="4" t="n">
        <v>2</v>
      </c>
      <c r="AH44" s="4" t="s">
        <v>61</v>
      </c>
      <c r="AI44" s="4" t="s">
        <v>62</v>
      </c>
      <c r="AJ44" s="3" t="n">
        <v>10</v>
      </c>
      <c r="AK44" s="6" t="s">
        <v>516</v>
      </c>
      <c r="AL44" s="0" t="s">
        <v>102</v>
      </c>
    </row>
    <row r="45" customFormat="false" ht="23.25" hidden="false" customHeight="true" outlineLevel="0" collapsed="false">
      <c r="A45" s="3" t="s">
        <v>517</v>
      </c>
      <c r="B45" s="4" t="s">
        <v>518</v>
      </c>
      <c r="C45" s="4" t="s">
        <v>519</v>
      </c>
      <c r="D45" s="3" t="s">
        <v>68</v>
      </c>
      <c r="E45" s="3" t="s">
        <v>42</v>
      </c>
      <c r="F45" s="3" t="s">
        <v>43</v>
      </c>
      <c r="G45" s="4" t="s">
        <v>520</v>
      </c>
      <c r="H45" s="4" t="s">
        <v>521</v>
      </c>
      <c r="I45" s="4" t="s">
        <v>175</v>
      </c>
      <c r="J45" s="3" t="s">
        <v>152</v>
      </c>
      <c r="K45" s="4" t="s">
        <v>522</v>
      </c>
      <c r="L45" s="5" t="n">
        <v>20000</v>
      </c>
      <c r="M45" s="5" t="n">
        <v>20000</v>
      </c>
      <c r="N45" s="5" t="n">
        <v>30000</v>
      </c>
      <c r="O45" s="5" t="n">
        <v>35000</v>
      </c>
      <c r="P45" s="5" t="n">
        <v>45000</v>
      </c>
      <c r="Q45" s="5" t="n">
        <f aca="false">SUM(M45:P45)</f>
        <v>130000</v>
      </c>
      <c r="R45" s="3" t="s">
        <v>60</v>
      </c>
      <c r="S45" s="4"/>
      <c r="T45" s="4"/>
      <c r="U45" s="4"/>
      <c r="V45" s="3"/>
      <c r="W45" s="4"/>
      <c r="X45" s="4" t="s">
        <v>154</v>
      </c>
      <c r="Y45" s="4" t="s">
        <v>523</v>
      </c>
      <c r="Z45" s="4" t="s">
        <v>95</v>
      </c>
      <c r="AA45" s="4" t="s">
        <v>78</v>
      </c>
      <c r="AB45" s="3" t="s">
        <v>97</v>
      </c>
      <c r="AC45" s="4" t="s">
        <v>524</v>
      </c>
      <c r="AD45" s="4" t="s">
        <v>81</v>
      </c>
      <c r="AE45" s="3" t="s">
        <v>60</v>
      </c>
      <c r="AF45" s="3" t="s">
        <v>60</v>
      </c>
      <c r="AG45" s="4" t="n">
        <v>1</v>
      </c>
      <c r="AH45" s="4" t="s">
        <v>157</v>
      </c>
      <c r="AI45" s="4" t="s">
        <v>83</v>
      </c>
      <c r="AJ45" s="3" t="n">
        <v>7</v>
      </c>
      <c r="AK45" s="6" t="s">
        <v>525</v>
      </c>
      <c r="AL45" s="0" t="s">
        <v>85</v>
      </c>
    </row>
    <row r="46" customFormat="false" ht="15" hidden="false" customHeight="true" outlineLevel="0" collapsed="false">
      <c r="A46" s="3" t="s">
        <v>526</v>
      </c>
      <c r="B46" s="4" t="s">
        <v>527</v>
      </c>
      <c r="C46" s="4" t="s">
        <v>528</v>
      </c>
      <c r="D46" s="3" t="s">
        <v>106</v>
      </c>
      <c r="E46" s="3" t="s">
        <v>42</v>
      </c>
      <c r="F46" s="3" t="s">
        <v>43</v>
      </c>
      <c r="G46" s="4" t="s">
        <v>529</v>
      </c>
      <c r="H46" s="4" t="s">
        <v>530</v>
      </c>
      <c r="I46" s="4" t="s">
        <v>46</v>
      </c>
      <c r="J46" s="3" t="s">
        <v>208</v>
      </c>
      <c r="K46" s="4" t="s">
        <v>531</v>
      </c>
      <c r="L46" s="5" t="n">
        <v>15000</v>
      </c>
      <c r="M46" s="4" t="n">
        <v>0</v>
      </c>
      <c r="N46" s="4" t="n">
        <v>0</v>
      </c>
      <c r="O46" s="4" t="n">
        <v>0</v>
      </c>
      <c r="P46" s="5" t="n">
        <v>15000</v>
      </c>
      <c r="Q46" s="5" t="n">
        <f aca="false">SUM(M46:P46)</f>
        <v>15000</v>
      </c>
      <c r="R46" s="3" t="s">
        <v>60</v>
      </c>
      <c r="S46" s="4"/>
      <c r="T46" s="4"/>
      <c r="U46" s="4"/>
      <c r="V46" s="3"/>
      <c r="W46" s="4"/>
      <c r="X46" s="4" t="s">
        <v>154</v>
      </c>
      <c r="Y46" s="4" t="s">
        <v>128</v>
      </c>
      <c r="Z46" s="4" t="s">
        <v>55</v>
      </c>
      <c r="AA46" s="4" t="s">
        <v>209</v>
      </c>
      <c r="AB46" s="3" t="s">
        <v>178</v>
      </c>
      <c r="AC46" s="4" t="s">
        <v>532</v>
      </c>
      <c r="AD46" s="4" t="s">
        <v>59</v>
      </c>
      <c r="AE46" s="3" t="s">
        <v>60</v>
      </c>
      <c r="AF46" s="3" t="s">
        <v>60</v>
      </c>
      <c r="AG46" s="4" t="n">
        <v>1</v>
      </c>
      <c r="AH46" s="4" t="s">
        <v>100</v>
      </c>
      <c r="AI46" s="4" t="s">
        <v>213</v>
      </c>
      <c r="AJ46" s="3" t="n">
        <v>6</v>
      </c>
      <c r="AK46" s="6" t="s">
        <v>533</v>
      </c>
      <c r="AL46" s="0" t="s">
        <v>85</v>
      </c>
    </row>
    <row r="47" customFormat="false" ht="15" hidden="false" customHeight="true" outlineLevel="0" collapsed="false">
      <c r="A47" s="3" t="s">
        <v>534</v>
      </c>
      <c r="B47" s="4" t="s">
        <v>535</v>
      </c>
      <c r="C47" s="4" t="s">
        <v>536</v>
      </c>
      <c r="D47" s="3" t="s">
        <v>106</v>
      </c>
      <c r="E47" s="3" t="s">
        <v>218</v>
      </c>
      <c r="F47" s="3" t="s">
        <v>196</v>
      </c>
      <c r="G47" s="4" t="s">
        <v>537</v>
      </c>
      <c r="H47" s="4" t="s">
        <v>538</v>
      </c>
      <c r="I47" s="4" t="s">
        <v>175</v>
      </c>
      <c r="J47" s="3" t="s">
        <v>221</v>
      </c>
      <c r="K47" s="4"/>
      <c r="L47" s="4"/>
      <c r="M47" s="4" t="n">
        <v>0</v>
      </c>
      <c r="N47" s="4" t="n">
        <v>0</v>
      </c>
      <c r="O47" s="4" t="n">
        <v>0</v>
      </c>
      <c r="P47" s="4" t="n">
        <v>0</v>
      </c>
      <c r="Q47" s="5" t="n">
        <f aca="false">SUM(M47:P47)</f>
        <v>0</v>
      </c>
      <c r="R47" s="3" t="s">
        <v>60</v>
      </c>
      <c r="S47" s="4"/>
      <c r="T47" s="4"/>
      <c r="U47" s="4"/>
      <c r="V47" s="3"/>
      <c r="W47" s="4"/>
      <c r="X47" s="4"/>
      <c r="Y47" s="4"/>
      <c r="Z47" s="4" t="s">
        <v>114</v>
      </c>
      <c r="AA47" s="4" t="s">
        <v>300</v>
      </c>
      <c r="AB47" s="3" t="s">
        <v>223</v>
      </c>
      <c r="AC47" s="4" t="s">
        <v>539</v>
      </c>
      <c r="AD47" s="4" t="s">
        <v>59</v>
      </c>
      <c r="AE47" s="3" t="s">
        <v>60</v>
      </c>
      <c r="AF47" s="3" t="s">
        <v>60</v>
      </c>
      <c r="AG47" s="4" t="n">
        <v>0</v>
      </c>
      <c r="AH47" s="4" t="s">
        <v>61</v>
      </c>
      <c r="AI47" s="4" t="s">
        <v>280</v>
      </c>
      <c r="AJ47" s="3" t="n">
        <v>6</v>
      </c>
      <c r="AK47" s="6" t="s">
        <v>540</v>
      </c>
      <c r="AL47" s="0" t="s">
        <v>102</v>
      </c>
    </row>
    <row r="48" customFormat="false" ht="15" hidden="false" customHeight="true" outlineLevel="0" collapsed="false">
      <c r="A48" s="3" t="s">
        <v>541</v>
      </c>
      <c r="B48" s="4" t="s">
        <v>542</v>
      </c>
      <c r="C48" s="4" t="s">
        <v>543</v>
      </c>
      <c r="D48" s="3" t="s">
        <v>106</v>
      </c>
      <c r="E48" s="3" t="s">
        <v>107</v>
      </c>
      <c r="F48" s="3" t="s">
        <v>196</v>
      </c>
      <c r="G48" s="4" t="s">
        <v>544</v>
      </c>
      <c r="H48" s="4" t="s">
        <v>545</v>
      </c>
      <c r="I48" s="4" t="s">
        <v>46</v>
      </c>
      <c r="J48" s="3" t="s">
        <v>208</v>
      </c>
      <c r="K48" s="4" t="s">
        <v>310</v>
      </c>
      <c r="L48" s="5" t="n">
        <v>10000</v>
      </c>
      <c r="M48" s="4" t="n">
        <v>0</v>
      </c>
      <c r="N48" s="4" t="n">
        <v>0</v>
      </c>
      <c r="O48" s="4" t="n">
        <v>0</v>
      </c>
      <c r="P48" s="5" t="n">
        <v>10000</v>
      </c>
      <c r="Q48" s="5" t="n">
        <f aca="false">SUM(M48:P48)</f>
        <v>10000</v>
      </c>
      <c r="R48" s="3" t="s">
        <v>60</v>
      </c>
      <c r="S48" s="4"/>
      <c r="T48" s="4"/>
      <c r="U48" s="4"/>
      <c r="V48" s="3"/>
      <c r="W48" s="4"/>
      <c r="X48" s="4" t="s">
        <v>154</v>
      </c>
      <c r="Y48" s="4" t="s">
        <v>77</v>
      </c>
      <c r="Z48" s="4" t="s">
        <v>95</v>
      </c>
      <c r="AA48" s="4" t="s">
        <v>310</v>
      </c>
      <c r="AB48" s="3" t="s">
        <v>178</v>
      </c>
      <c r="AC48" s="4" t="s">
        <v>546</v>
      </c>
      <c r="AD48" s="4" t="s">
        <v>99</v>
      </c>
      <c r="AE48" s="3" t="s">
        <v>60</v>
      </c>
      <c r="AF48" s="3" t="s">
        <v>60</v>
      </c>
      <c r="AG48" s="4" t="n">
        <v>1</v>
      </c>
      <c r="AH48" s="4" t="s">
        <v>157</v>
      </c>
      <c r="AI48" s="4" t="s">
        <v>118</v>
      </c>
      <c r="AJ48" s="3" t="n">
        <v>6</v>
      </c>
      <c r="AK48" s="6" t="s">
        <v>547</v>
      </c>
      <c r="AL48" s="0" t="s">
        <v>85</v>
      </c>
    </row>
    <row r="49" customFormat="false" ht="23.25" hidden="false" customHeight="true" outlineLevel="0" collapsed="false">
      <c r="A49" s="3" t="s">
        <v>548</v>
      </c>
      <c r="B49" s="4" t="s">
        <v>549</v>
      </c>
      <c r="C49" s="4" t="s">
        <v>550</v>
      </c>
      <c r="D49" s="3" t="s">
        <v>68</v>
      </c>
      <c r="E49" s="3" t="s">
        <v>237</v>
      </c>
      <c r="F49" s="3" t="s">
        <v>196</v>
      </c>
      <c r="G49" s="4" t="s">
        <v>551</v>
      </c>
      <c r="H49" s="4" t="s">
        <v>552</v>
      </c>
      <c r="I49" s="4" t="s">
        <v>125</v>
      </c>
      <c r="J49" s="3" t="s">
        <v>221</v>
      </c>
      <c r="K49" s="4"/>
      <c r="L49" s="4"/>
      <c r="M49" s="4" t="n">
        <v>0</v>
      </c>
      <c r="N49" s="4" t="n">
        <v>0</v>
      </c>
      <c r="O49" s="4" t="n">
        <v>0</v>
      </c>
      <c r="P49" s="4" t="n">
        <v>0</v>
      </c>
      <c r="Q49" s="5" t="n">
        <f aca="false">SUM(M49:P49)</f>
        <v>0</v>
      </c>
      <c r="R49" s="3" t="s">
        <v>60</v>
      </c>
      <c r="S49" s="4"/>
      <c r="T49" s="4"/>
      <c r="U49" s="4"/>
      <c r="V49" s="3"/>
      <c r="W49" s="4"/>
      <c r="X49" s="4"/>
      <c r="Y49" s="4" t="s">
        <v>362</v>
      </c>
      <c r="Z49" s="4" t="s">
        <v>55</v>
      </c>
      <c r="AA49" s="4" t="s">
        <v>241</v>
      </c>
      <c r="AB49" s="3" t="s">
        <v>242</v>
      </c>
      <c r="AC49" s="4" t="s">
        <v>553</v>
      </c>
      <c r="AD49" s="4" t="s">
        <v>554</v>
      </c>
      <c r="AE49" s="3" t="s">
        <v>60</v>
      </c>
      <c r="AF49" s="3" t="s">
        <v>60</v>
      </c>
      <c r="AG49" s="4" t="n">
        <v>1</v>
      </c>
      <c r="AH49" s="4" t="s">
        <v>61</v>
      </c>
      <c r="AI49" s="4" t="s">
        <v>118</v>
      </c>
      <c r="AJ49" s="3" t="n">
        <v>8</v>
      </c>
      <c r="AK49" s="6" t="s">
        <v>555</v>
      </c>
      <c r="AL49" s="0" t="s">
        <v>64</v>
      </c>
    </row>
    <row r="50" customFormat="false" ht="23.25" hidden="false" customHeight="true" outlineLevel="0" collapsed="false">
      <c r="A50" s="3" t="s">
        <v>556</v>
      </c>
      <c r="B50" s="4" t="s">
        <v>557</v>
      </c>
      <c r="C50" s="4" t="s">
        <v>558</v>
      </c>
      <c r="D50" s="3" t="s">
        <v>68</v>
      </c>
      <c r="E50" s="3" t="s">
        <v>195</v>
      </c>
      <c r="F50" s="3" t="s">
        <v>196</v>
      </c>
      <c r="G50" s="4" t="s">
        <v>559</v>
      </c>
      <c r="H50" s="4" t="s">
        <v>560</v>
      </c>
      <c r="I50" s="4" t="s">
        <v>125</v>
      </c>
      <c r="J50" s="3" t="s">
        <v>221</v>
      </c>
      <c r="K50" s="4"/>
      <c r="L50" s="4"/>
      <c r="M50" s="4" t="n">
        <v>0</v>
      </c>
      <c r="N50" s="4" t="n">
        <v>0</v>
      </c>
      <c r="O50" s="4" t="n">
        <v>0</v>
      </c>
      <c r="P50" s="4" t="n">
        <v>0</v>
      </c>
      <c r="Q50" s="5" t="n">
        <f aca="false">SUM(M50:P50)</f>
        <v>0</v>
      </c>
      <c r="R50" s="3" t="s">
        <v>60</v>
      </c>
      <c r="S50" s="4"/>
      <c r="T50" s="4"/>
      <c r="U50" s="4"/>
      <c r="V50" s="3"/>
      <c r="W50" s="4"/>
      <c r="X50" s="4"/>
      <c r="Y50" s="4" t="s">
        <v>561</v>
      </c>
      <c r="Z50" s="4" t="s">
        <v>114</v>
      </c>
      <c r="AA50" s="4" t="s">
        <v>143</v>
      </c>
      <c r="AB50" s="3" t="s">
        <v>79</v>
      </c>
      <c r="AC50" s="4" t="s">
        <v>562</v>
      </c>
      <c r="AD50" s="4" t="s">
        <v>59</v>
      </c>
      <c r="AE50" s="3" t="s">
        <v>60</v>
      </c>
      <c r="AF50" s="3" t="s">
        <v>60</v>
      </c>
      <c r="AG50" s="4" t="n">
        <v>0</v>
      </c>
      <c r="AH50" s="4" t="s">
        <v>100</v>
      </c>
      <c r="AI50" s="4" t="s">
        <v>118</v>
      </c>
      <c r="AJ50" s="3" t="n">
        <v>7</v>
      </c>
      <c r="AK50" s="6" t="s">
        <v>563</v>
      </c>
      <c r="AL50" s="0" t="s">
        <v>64</v>
      </c>
    </row>
    <row r="51" customFormat="false" ht="23.25" hidden="false" customHeight="true" outlineLevel="0" collapsed="false">
      <c r="A51" s="3" t="s">
        <v>564</v>
      </c>
      <c r="B51" s="4" t="s">
        <v>565</v>
      </c>
      <c r="C51" s="4" t="s">
        <v>566</v>
      </c>
      <c r="D51" s="3" t="s">
        <v>41</v>
      </c>
      <c r="E51" s="3" t="s">
        <v>107</v>
      </c>
      <c r="F51" s="3" t="s">
        <v>196</v>
      </c>
      <c r="G51" s="4" t="s">
        <v>567</v>
      </c>
      <c r="H51" s="4" t="s">
        <v>568</v>
      </c>
      <c r="I51" s="4" t="s">
        <v>186</v>
      </c>
      <c r="J51" s="3" t="s">
        <v>208</v>
      </c>
      <c r="K51" s="4" t="s">
        <v>431</v>
      </c>
      <c r="L51" s="5" t="n">
        <v>20000</v>
      </c>
      <c r="M51" s="4" t="n">
        <v>0</v>
      </c>
      <c r="N51" s="4" t="n">
        <v>0</v>
      </c>
      <c r="O51" s="4" t="n">
        <v>0</v>
      </c>
      <c r="P51" s="5" t="n">
        <v>20000</v>
      </c>
      <c r="Q51" s="5" t="n">
        <f aca="false">SUM(M51:P51)</f>
        <v>20000</v>
      </c>
      <c r="R51" s="3" t="s">
        <v>60</v>
      </c>
      <c r="S51" s="4"/>
      <c r="T51" s="4"/>
      <c r="U51" s="4"/>
      <c r="V51" s="3"/>
      <c r="W51" s="4"/>
      <c r="X51" s="4" t="s">
        <v>154</v>
      </c>
      <c r="Y51" s="4" t="s">
        <v>569</v>
      </c>
      <c r="Z51" s="4" t="s">
        <v>114</v>
      </c>
      <c r="AA51" s="4" t="s">
        <v>570</v>
      </c>
      <c r="AB51" s="3" t="s">
        <v>178</v>
      </c>
      <c r="AC51" s="4" t="s">
        <v>571</v>
      </c>
      <c r="AD51" s="4" t="s">
        <v>81</v>
      </c>
      <c r="AE51" s="3" t="s">
        <v>60</v>
      </c>
      <c r="AF51" s="3" t="s">
        <v>60</v>
      </c>
      <c r="AG51" s="4" t="n">
        <v>1</v>
      </c>
      <c r="AH51" s="4" t="s">
        <v>61</v>
      </c>
      <c r="AI51" s="4" t="s">
        <v>213</v>
      </c>
      <c r="AJ51" s="3" t="n">
        <v>7</v>
      </c>
      <c r="AK51" s="6" t="s">
        <v>572</v>
      </c>
      <c r="AL51" s="0" t="s">
        <v>102</v>
      </c>
    </row>
    <row r="52" customFormat="false" ht="23.25" hidden="false" customHeight="true" outlineLevel="0" collapsed="false">
      <c r="A52" s="3" t="s">
        <v>573</v>
      </c>
      <c r="B52" s="4" t="s">
        <v>574</v>
      </c>
      <c r="C52" s="4" t="s">
        <v>575</v>
      </c>
      <c r="D52" s="3" t="s">
        <v>106</v>
      </c>
      <c r="E52" s="3" t="s">
        <v>249</v>
      </c>
      <c r="F52" s="3" t="s">
        <v>250</v>
      </c>
      <c r="G52" s="4" t="s">
        <v>576</v>
      </c>
      <c r="H52" s="4" t="s">
        <v>577</v>
      </c>
      <c r="I52" s="4" t="s">
        <v>139</v>
      </c>
      <c r="J52" s="3" t="s">
        <v>152</v>
      </c>
      <c r="K52" s="4" t="s">
        <v>578</v>
      </c>
      <c r="L52" s="5" t="n">
        <v>25000</v>
      </c>
      <c r="M52" s="5" t="n">
        <v>35000</v>
      </c>
      <c r="N52" s="5" t="n">
        <v>40000</v>
      </c>
      <c r="O52" s="5" t="n">
        <v>25000</v>
      </c>
      <c r="P52" s="4" t="n">
        <v>0</v>
      </c>
      <c r="Q52" s="5" t="n">
        <f aca="false">SUM(M52:P52)</f>
        <v>100000</v>
      </c>
      <c r="R52" s="3" t="s">
        <v>60</v>
      </c>
      <c r="S52" s="4"/>
      <c r="T52" s="4"/>
      <c r="U52" s="4"/>
      <c r="V52" s="3"/>
      <c r="W52" s="4"/>
      <c r="X52" s="4" t="s">
        <v>154</v>
      </c>
      <c r="Y52" s="4" t="s">
        <v>128</v>
      </c>
      <c r="Z52" s="4" t="s">
        <v>95</v>
      </c>
      <c r="AA52" s="4" t="s">
        <v>579</v>
      </c>
      <c r="AB52" s="3" t="s">
        <v>79</v>
      </c>
      <c r="AC52" s="4" t="s">
        <v>580</v>
      </c>
      <c r="AD52" s="4" t="s">
        <v>99</v>
      </c>
      <c r="AE52" s="3" t="s">
        <v>60</v>
      </c>
      <c r="AF52" s="3" t="s">
        <v>60</v>
      </c>
      <c r="AG52" s="4" t="n">
        <v>0</v>
      </c>
      <c r="AH52" s="4" t="s">
        <v>100</v>
      </c>
      <c r="AI52" s="4" t="s">
        <v>118</v>
      </c>
      <c r="AJ52" s="3" t="n">
        <v>7</v>
      </c>
      <c r="AK52" s="6" t="s">
        <v>581</v>
      </c>
      <c r="AL52" s="0" t="s">
        <v>64</v>
      </c>
    </row>
    <row r="53" customFormat="false" ht="23.25" hidden="false" customHeight="true" outlineLevel="0" collapsed="false">
      <c r="A53" s="3" t="s">
        <v>582</v>
      </c>
      <c r="B53" s="4" t="s">
        <v>583</v>
      </c>
      <c r="C53" s="4" t="s">
        <v>584</v>
      </c>
      <c r="D53" s="3" t="s">
        <v>106</v>
      </c>
      <c r="E53" s="3" t="s">
        <v>249</v>
      </c>
      <c r="F53" s="3" t="s">
        <v>250</v>
      </c>
      <c r="G53" s="4" t="s">
        <v>585</v>
      </c>
      <c r="H53" s="4" t="s">
        <v>586</v>
      </c>
      <c r="I53" s="4" t="s">
        <v>110</v>
      </c>
      <c r="J53" s="3" t="s">
        <v>208</v>
      </c>
      <c r="K53" s="4" t="s">
        <v>361</v>
      </c>
      <c r="L53" s="5" t="n">
        <v>10000</v>
      </c>
      <c r="M53" s="5" t="n">
        <v>10000</v>
      </c>
      <c r="N53" s="5" t="n">
        <v>15000</v>
      </c>
      <c r="O53" s="4" t="n">
        <v>0</v>
      </c>
      <c r="P53" s="4" t="n">
        <v>0</v>
      </c>
      <c r="Q53" s="5" t="n">
        <f aca="false">SUM(M53:P53)</f>
        <v>25000</v>
      </c>
      <c r="R53" s="3" t="s">
        <v>60</v>
      </c>
      <c r="S53" s="4"/>
      <c r="T53" s="4"/>
      <c r="U53" s="4"/>
      <c r="V53" s="3"/>
      <c r="W53" s="4"/>
      <c r="X53" s="4" t="s">
        <v>154</v>
      </c>
      <c r="Y53" s="4" t="s">
        <v>77</v>
      </c>
      <c r="Z53" s="4" t="s">
        <v>114</v>
      </c>
      <c r="AA53" s="4" t="s">
        <v>587</v>
      </c>
      <c r="AB53" s="3" t="s">
        <v>267</v>
      </c>
      <c r="AC53" s="4" t="s">
        <v>588</v>
      </c>
      <c r="AD53" s="4" t="s">
        <v>81</v>
      </c>
      <c r="AE53" s="3" t="s">
        <v>60</v>
      </c>
      <c r="AF53" s="3" t="s">
        <v>60</v>
      </c>
      <c r="AG53" s="4" t="n">
        <v>0</v>
      </c>
      <c r="AH53" s="4" t="s">
        <v>157</v>
      </c>
      <c r="AI53" s="4" t="s">
        <v>213</v>
      </c>
      <c r="AJ53" s="3" t="n">
        <v>5</v>
      </c>
      <c r="AK53" s="6" t="s">
        <v>589</v>
      </c>
      <c r="AL53" s="0" t="s">
        <v>102</v>
      </c>
    </row>
    <row r="54" customFormat="false" ht="23.25" hidden="false" customHeight="true" outlineLevel="0" collapsed="false">
      <c r="A54" s="3" t="s">
        <v>590</v>
      </c>
      <c r="B54" s="4" t="s">
        <v>591</v>
      </c>
      <c r="C54" s="4" t="s">
        <v>592</v>
      </c>
      <c r="D54" s="3" t="s">
        <v>41</v>
      </c>
      <c r="E54" s="3" t="s">
        <v>273</v>
      </c>
      <c r="F54" s="3" t="s">
        <v>274</v>
      </c>
      <c r="G54" s="4" t="s">
        <v>593</v>
      </c>
      <c r="H54" s="4" t="s">
        <v>594</v>
      </c>
      <c r="I54" s="4" t="s">
        <v>110</v>
      </c>
      <c r="J54" s="3" t="s">
        <v>221</v>
      </c>
      <c r="K54" s="4"/>
      <c r="L54" s="4"/>
      <c r="M54" s="4" t="n">
        <v>0</v>
      </c>
      <c r="N54" s="4" t="n">
        <v>0</v>
      </c>
      <c r="O54" s="4" t="n">
        <v>0</v>
      </c>
      <c r="P54" s="4" t="n">
        <v>0</v>
      </c>
      <c r="Q54" s="5" t="n">
        <f aca="false">SUM(M54:P54)</f>
        <v>0</v>
      </c>
      <c r="R54" s="3" t="s">
        <v>60</v>
      </c>
      <c r="S54" s="4"/>
      <c r="T54" s="4"/>
      <c r="U54" s="4"/>
      <c r="V54" s="3"/>
      <c r="W54" s="4"/>
      <c r="X54" s="4"/>
      <c r="Y54" s="4"/>
      <c r="Z54" s="4" t="s">
        <v>55</v>
      </c>
      <c r="AA54" s="4" t="s">
        <v>595</v>
      </c>
      <c r="AB54" s="3" t="s">
        <v>79</v>
      </c>
      <c r="AC54" s="4" t="s">
        <v>596</v>
      </c>
      <c r="AD54" s="4" t="s">
        <v>460</v>
      </c>
      <c r="AE54" s="3" t="s">
        <v>60</v>
      </c>
      <c r="AF54" s="3" t="s">
        <v>60</v>
      </c>
      <c r="AG54" s="4" t="n">
        <v>0</v>
      </c>
      <c r="AH54" s="4" t="s">
        <v>61</v>
      </c>
      <c r="AI54" s="4" t="s">
        <v>280</v>
      </c>
      <c r="AJ54" s="3" t="n">
        <v>6</v>
      </c>
      <c r="AK54" s="6" t="s">
        <v>597</v>
      </c>
      <c r="AL54" s="0" t="s">
        <v>102</v>
      </c>
    </row>
    <row r="55" customFormat="false" ht="23.25" hidden="false" customHeight="true" outlineLevel="0" collapsed="false">
      <c r="A55" s="3" t="s">
        <v>598</v>
      </c>
      <c r="B55" s="4" t="s">
        <v>599</v>
      </c>
      <c r="C55" s="4" t="s">
        <v>600</v>
      </c>
      <c r="D55" s="3" t="s">
        <v>106</v>
      </c>
      <c r="E55" s="3" t="s">
        <v>273</v>
      </c>
      <c r="F55" s="3" t="s">
        <v>274</v>
      </c>
      <c r="G55" s="4" t="s">
        <v>601</v>
      </c>
      <c r="H55" s="4" t="s">
        <v>602</v>
      </c>
      <c r="I55" s="4" t="s">
        <v>175</v>
      </c>
      <c r="J55" s="3" t="s">
        <v>221</v>
      </c>
      <c r="K55" s="4"/>
      <c r="L55" s="4"/>
      <c r="M55" s="4" t="n">
        <v>0</v>
      </c>
      <c r="N55" s="4" t="n">
        <v>0</v>
      </c>
      <c r="O55" s="4" t="n">
        <v>0</v>
      </c>
      <c r="P55" s="4" t="n">
        <v>0</v>
      </c>
      <c r="Q55" s="5" t="n">
        <f aca="false">SUM(M55:P55)</f>
        <v>0</v>
      </c>
      <c r="R55" s="3" t="s">
        <v>60</v>
      </c>
      <c r="S55" s="4"/>
      <c r="T55" s="4"/>
      <c r="U55" s="4"/>
      <c r="V55" s="3"/>
      <c r="W55" s="4"/>
      <c r="X55" s="4"/>
      <c r="Y55" s="4"/>
      <c r="Z55" s="4" t="s">
        <v>95</v>
      </c>
      <c r="AA55" s="4" t="s">
        <v>603</v>
      </c>
      <c r="AB55" s="3" t="s">
        <v>57</v>
      </c>
      <c r="AC55" s="4" t="s">
        <v>604</v>
      </c>
      <c r="AD55" s="4" t="s">
        <v>365</v>
      </c>
      <c r="AE55" s="3" t="s">
        <v>60</v>
      </c>
      <c r="AF55" s="3" t="s">
        <v>60</v>
      </c>
      <c r="AG55" s="4" t="n">
        <v>1</v>
      </c>
      <c r="AH55" s="4" t="s">
        <v>100</v>
      </c>
      <c r="AI55" s="4" t="s">
        <v>280</v>
      </c>
      <c r="AJ55" s="3" t="n">
        <v>5</v>
      </c>
      <c r="AK55" s="6" t="s">
        <v>605</v>
      </c>
      <c r="AL55" s="0" t="s">
        <v>64</v>
      </c>
    </row>
    <row r="56" customFormat="false" ht="23.25" hidden="false" customHeight="true" outlineLevel="0" collapsed="false">
      <c r="A56" s="3" t="s">
        <v>606</v>
      </c>
      <c r="B56" s="4" t="s">
        <v>607</v>
      </c>
      <c r="C56" s="4" t="s">
        <v>608</v>
      </c>
      <c r="D56" s="3" t="s">
        <v>68</v>
      </c>
      <c r="E56" s="3" t="s">
        <v>218</v>
      </c>
      <c r="F56" s="3" t="s">
        <v>196</v>
      </c>
      <c r="G56" s="4" t="s">
        <v>609</v>
      </c>
      <c r="H56" s="4" t="s">
        <v>610</v>
      </c>
      <c r="I56" s="4" t="s">
        <v>91</v>
      </c>
      <c r="J56" s="3" t="s">
        <v>221</v>
      </c>
      <c r="K56" s="4"/>
      <c r="L56" s="4"/>
      <c r="M56" s="4" t="n">
        <v>0</v>
      </c>
      <c r="N56" s="4" t="n">
        <v>0</v>
      </c>
      <c r="O56" s="4" t="n">
        <v>0</v>
      </c>
      <c r="P56" s="4" t="n">
        <v>0</v>
      </c>
      <c r="Q56" s="5" t="n">
        <f aca="false">SUM(M56:P56)</f>
        <v>0</v>
      </c>
      <c r="R56" s="3" t="s">
        <v>60</v>
      </c>
      <c r="S56" s="4"/>
      <c r="T56" s="4"/>
      <c r="U56" s="4"/>
      <c r="V56" s="3"/>
      <c r="W56" s="4"/>
      <c r="X56" s="4"/>
      <c r="Y56" s="4" t="s">
        <v>611</v>
      </c>
      <c r="Z56" s="4" t="s">
        <v>95</v>
      </c>
      <c r="AA56" s="4" t="s">
        <v>189</v>
      </c>
      <c r="AB56" s="3" t="s">
        <v>223</v>
      </c>
      <c r="AC56" s="4" t="s">
        <v>612</v>
      </c>
      <c r="AD56" s="4" t="s">
        <v>117</v>
      </c>
      <c r="AE56" s="3" t="s">
        <v>60</v>
      </c>
      <c r="AF56" s="3" t="s">
        <v>60</v>
      </c>
      <c r="AG56" s="4" t="n">
        <v>0</v>
      </c>
      <c r="AH56" s="4" t="s">
        <v>100</v>
      </c>
      <c r="AI56" s="4" t="s">
        <v>213</v>
      </c>
      <c r="AJ56" s="3" t="n">
        <v>6</v>
      </c>
      <c r="AK56" s="6" t="s">
        <v>613</v>
      </c>
      <c r="AL56" s="0" t="s">
        <v>85</v>
      </c>
    </row>
    <row r="57" customFormat="false" ht="23.25" hidden="false" customHeight="true" outlineLevel="0" collapsed="false">
      <c r="A57" s="3" t="s">
        <v>614</v>
      </c>
      <c r="B57" s="4" t="s">
        <v>615</v>
      </c>
      <c r="C57" s="4" t="s">
        <v>616</v>
      </c>
      <c r="D57" s="3" t="s">
        <v>106</v>
      </c>
      <c r="E57" s="3" t="s">
        <v>218</v>
      </c>
      <c r="F57" s="3" t="s">
        <v>196</v>
      </c>
      <c r="G57" s="4" t="s">
        <v>617</v>
      </c>
      <c r="H57" s="4" t="s">
        <v>618</v>
      </c>
      <c r="I57" s="4" t="s">
        <v>91</v>
      </c>
      <c r="J57" s="3" t="s">
        <v>221</v>
      </c>
      <c r="K57" s="4"/>
      <c r="L57" s="4"/>
      <c r="M57" s="4" t="n">
        <v>0</v>
      </c>
      <c r="N57" s="4" t="n">
        <v>0</v>
      </c>
      <c r="O57" s="4" t="n">
        <v>0</v>
      </c>
      <c r="P57" s="4" t="n">
        <v>0</v>
      </c>
      <c r="Q57" s="5" t="n">
        <f aca="false">SUM(M57:P57)</f>
        <v>0</v>
      </c>
      <c r="R57" s="3" t="s">
        <v>60</v>
      </c>
      <c r="S57" s="4"/>
      <c r="T57" s="4"/>
      <c r="U57" s="4"/>
      <c r="V57" s="3"/>
      <c r="W57" s="4"/>
      <c r="X57" s="4"/>
      <c r="Y57" s="4"/>
      <c r="Z57" s="4" t="s">
        <v>114</v>
      </c>
      <c r="AA57" s="4" t="s">
        <v>115</v>
      </c>
      <c r="AB57" s="3" t="s">
        <v>223</v>
      </c>
      <c r="AC57" s="4" t="s">
        <v>619</v>
      </c>
      <c r="AD57" s="4" t="s">
        <v>59</v>
      </c>
      <c r="AE57" s="3" t="s">
        <v>60</v>
      </c>
      <c r="AF57" s="3" t="s">
        <v>60</v>
      </c>
      <c r="AG57" s="4" t="n">
        <v>0</v>
      </c>
      <c r="AH57" s="4" t="s">
        <v>61</v>
      </c>
      <c r="AI57" s="4" t="s">
        <v>280</v>
      </c>
      <c r="AJ57" s="3" t="n">
        <v>6</v>
      </c>
      <c r="AK57" s="6" t="s">
        <v>620</v>
      </c>
      <c r="AL57" s="0" t="s">
        <v>64</v>
      </c>
    </row>
    <row r="58" customFormat="false" ht="23.25" hidden="false" customHeight="true" outlineLevel="0" collapsed="false">
      <c r="A58" s="3" t="s">
        <v>621</v>
      </c>
      <c r="B58" s="4" t="s">
        <v>622</v>
      </c>
      <c r="C58" s="4" t="s">
        <v>623</v>
      </c>
      <c r="D58" s="3" t="s">
        <v>41</v>
      </c>
      <c r="E58" s="3" t="s">
        <v>195</v>
      </c>
      <c r="F58" s="3" t="s">
        <v>196</v>
      </c>
      <c r="G58" s="4" t="s">
        <v>624</v>
      </c>
      <c r="H58" s="4" t="s">
        <v>625</v>
      </c>
      <c r="I58" s="4" t="s">
        <v>175</v>
      </c>
      <c r="J58" s="3" t="s">
        <v>221</v>
      </c>
      <c r="K58" s="4"/>
      <c r="L58" s="4"/>
      <c r="M58" s="4" t="n">
        <v>0</v>
      </c>
      <c r="N58" s="4" t="n">
        <v>0</v>
      </c>
      <c r="O58" s="4" t="n">
        <v>0</v>
      </c>
      <c r="P58" s="4" t="n">
        <v>0</v>
      </c>
      <c r="Q58" s="5" t="n">
        <f aca="false">SUM(M58:P58)</f>
        <v>0</v>
      </c>
      <c r="R58" s="3" t="s">
        <v>60</v>
      </c>
      <c r="S58" s="4"/>
      <c r="T58" s="4"/>
      <c r="U58" s="4"/>
      <c r="V58" s="3"/>
      <c r="W58" s="4"/>
      <c r="X58" s="4"/>
      <c r="Y58" s="4" t="s">
        <v>569</v>
      </c>
      <c r="Z58" s="4" t="s">
        <v>55</v>
      </c>
      <c r="AA58" s="4" t="s">
        <v>200</v>
      </c>
      <c r="AB58" s="3" t="s">
        <v>79</v>
      </c>
      <c r="AC58" s="4" t="s">
        <v>626</v>
      </c>
      <c r="AD58" s="4" t="s">
        <v>99</v>
      </c>
      <c r="AE58" s="3" t="s">
        <v>60</v>
      </c>
      <c r="AF58" s="3" t="s">
        <v>60</v>
      </c>
      <c r="AG58" s="4" t="n">
        <v>0</v>
      </c>
      <c r="AH58" s="4" t="s">
        <v>100</v>
      </c>
      <c r="AI58" s="4" t="s">
        <v>118</v>
      </c>
      <c r="AJ58" s="3" t="n">
        <v>7</v>
      </c>
      <c r="AK58" s="6" t="s">
        <v>627</v>
      </c>
      <c r="AL58" s="0" t="s">
        <v>102</v>
      </c>
    </row>
    <row r="59" customFormat="false" ht="15" hidden="false" customHeight="true" outlineLevel="0" collapsed="false">
      <c r="A59" s="3" t="s">
        <v>628</v>
      </c>
      <c r="B59" s="4" t="s">
        <v>629</v>
      </c>
      <c r="C59" s="4" t="s">
        <v>630</v>
      </c>
      <c r="D59" s="3" t="s">
        <v>68</v>
      </c>
      <c r="E59" s="3" t="s">
        <v>107</v>
      </c>
      <c r="F59" s="3" t="s">
        <v>196</v>
      </c>
      <c r="G59" s="4" t="s">
        <v>631</v>
      </c>
      <c r="H59" s="4" t="s">
        <v>632</v>
      </c>
      <c r="I59" s="4" t="s">
        <v>139</v>
      </c>
      <c r="J59" s="3" t="s">
        <v>208</v>
      </c>
      <c r="K59" s="4" t="s">
        <v>380</v>
      </c>
      <c r="L59" s="5" t="n">
        <v>10000</v>
      </c>
      <c r="M59" s="4" t="n">
        <v>0</v>
      </c>
      <c r="N59" s="4" t="n">
        <v>0</v>
      </c>
      <c r="O59" s="4" t="n">
        <v>0</v>
      </c>
      <c r="P59" s="5" t="n">
        <v>10000</v>
      </c>
      <c r="Q59" s="5" t="n">
        <f aca="false">SUM(M59:P59)</f>
        <v>10000</v>
      </c>
      <c r="R59" s="3" t="s">
        <v>60</v>
      </c>
      <c r="S59" s="4"/>
      <c r="T59" s="4"/>
      <c r="U59" s="4"/>
      <c r="V59" s="3"/>
      <c r="W59" s="4"/>
      <c r="X59" s="4" t="s">
        <v>154</v>
      </c>
      <c r="Y59" s="4" t="s">
        <v>331</v>
      </c>
      <c r="Z59" s="4" t="s">
        <v>95</v>
      </c>
      <c r="AA59" s="4" t="s">
        <v>380</v>
      </c>
      <c r="AB59" s="3" t="s">
        <v>178</v>
      </c>
      <c r="AC59" s="4" t="s">
        <v>633</v>
      </c>
      <c r="AD59" s="4" t="s">
        <v>81</v>
      </c>
      <c r="AE59" s="3" t="s">
        <v>60</v>
      </c>
      <c r="AF59" s="3" t="s">
        <v>60</v>
      </c>
      <c r="AG59" s="4" t="n">
        <v>1</v>
      </c>
      <c r="AH59" s="4" t="s">
        <v>100</v>
      </c>
      <c r="AI59" s="4" t="s">
        <v>118</v>
      </c>
      <c r="AJ59" s="3" t="n">
        <v>7</v>
      </c>
      <c r="AK59" s="6" t="s">
        <v>634</v>
      </c>
      <c r="AL59" s="0" t="s">
        <v>85</v>
      </c>
    </row>
    <row r="60" customFormat="false" ht="23.25" hidden="false" customHeight="true" outlineLevel="0" collapsed="false">
      <c r="A60" s="3" t="s">
        <v>635</v>
      </c>
      <c r="B60" s="4" t="s">
        <v>636</v>
      </c>
      <c r="C60" s="4" t="s">
        <v>637</v>
      </c>
      <c r="D60" s="3" t="s">
        <v>41</v>
      </c>
      <c r="E60" s="3" t="s">
        <v>237</v>
      </c>
      <c r="F60" s="3" t="s">
        <v>196</v>
      </c>
      <c r="G60" s="4" t="s">
        <v>638</v>
      </c>
      <c r="H60" s="4" t="s">
        <v>639</v>
      </c>
      <c r="I60" s="4" t="s">
        <v>110</v>
      </c>
      <c r="J60" s="3" t="s">
        <v>221</v>
      </c>
      <c r="K60" s="4"/>
      <c r="L60" s="4"/>
      <c r="M60" s="4" t="n">
        <v>0</v>
      </c>
      <c r="N60" s="4" t="n">
        <v>0</v>
      </c>
      <c r="O60" s="4" t="n">
        <v>0</v>
      </c>
      <c r="P60" s="4" t="n">
        <v>0</v>
      </c>
      <c r="Q60" s="5" t="n">
        <f aca="false">SUM(M60:P60)</f>
        <v>0</v>
      </c>
      <c r="R60" s="3" t="s">
        <v>60</v>
      </c>
      <c r="S60" s="4"/>
      <c r="T60" s="4"/>
      <c r="U60" s="4"/>
      <c r="V60" s="3"/>
      <c r="W60" s="4"/>
      <c r="X60" s="4"/>
      <c r="Y60" s="4" t="s">
        <v>514</v>
      </c>
      <c r="Z60" s="4" t="s">
        <v>55</v>
      </c>
      <c r="AA60" s="4" t="s">
        <v>389</v>
      </c>
      <c r="AB60" s="3" t="s">
        <v>242</v>
      </c>
      <c r="AC60" s="4" t="s">
        <v>640</v>
      </c>
      <c r="AD60" s="4" t="s">
        <v>333</v>
      </c>
      <c r="AE60" s="3" t="s">
        <v>60</v>
      </c>
      <c r="AF60" s="3" t="s">
        <v>60</v>
      </c>
      <c r="AG60" s="4" t="n">
        <v>2</v>
      </c>
      <c r="AH60" s="4" t="s">
        <v>61</v>
      </c>
      <c r="AI60" s="4" t="s">
        <v>83</v>
      </c>
      <c r="AJ60" s="3" t="n">
        <v>9</v>
      </c>
      <c r="AK60" s="6" t="s">
        <v>641</v>
      </c>
      <c r="AL60" s="0" t="s">
        <v>102</v>
      </c>
    </row>
    <row r="61" customFormat="false" ht="23.25" hidden="false" customHeight="true" outlineLevel="0" collapsed="false">
      <c r="A61" s="3" t="s">
        <v>642</v>
      </c>
      <c r="B61" s="4" t="s">
        <v>643</v>
      </c>
      <c r="C61" s="4" t="s">
        <v>644</v>
      </c>
      <c r="D61" s="3" t="s">
        <v>106</v>
      </c>
      <c r="E61" s="3" t="s">
        <v>218</v>
      </c>
      <c r="F61" s="3" t="s">
        <v>196</v>
      </c>
      <c r="G61" s="4" t="s">
        <v>645</v>
      </c>
      <c r="H61" s="4" t="s">
        <v>646</v>
      </c>
      <c r="I61" s="4" t="s">
        <v>175</v>
      </c>
      <c r="J61" s="3" t="s">
        <v>221</v>
      </c>
      <c r="K61" s="4"/>
      <c r="L61" s="4"/>
      <c r="M61" s="4" t="n">
        <v>0</v>
      </c>
      <c r="N61" s="4" t="n">
        <v>0</v>
      </c>
      <c r="O61" s="4" t="n">
        <v>0</v>
      </c>
      <c r="P61" s="4" t="n">
        <v>0</v>
      </c>
      <c r="Q61" s="5" t="n">
        <f aca="false">SUM(M61:P61)</f>
        <v>0</v>
      </c>
      <c r="R61" s="3" t="s">
        <v>60</v>
      </c>
      <c r="S61" s="4"/>
      <c r="T61" s="4"/>
      <c r="U61" s="4"/>
      <c r="V61" s="3"/>
      <c r="W61" s="4"/>
      <c r="X61" s="4"/>
      <c r="Y61" s="4"/>
      <c r="Z61" s="4" t="s">
        <v>114</v>
      </c>
      <c r="AA61" s="4" t="s">
        <v>363</v>
      </c>
      <c r="AB61" s="3" t="s">
        <v>223</v>
      </c>
      <c r="AC61" s="4" t="s">
        <v>647</v>
      </c>
      <c r="AD61" s="4" t="s">
        <v>117</v>
      </c>
      <c r="AE61" s="3" t="s">
        <v>60</v>
      </c>
      <c r="AF61" s="3" t="s">
        <v>60</v>
      </c>
      <c r="AG61" s="4" t="n">
        <v>0</v>
      </c>
      <c r="AH61" s="4" t="s">
        <v>61</v>
      </c>
      <c r="AI61" s="4" t="s">
        <v>213</v>
      </c>
      <c r="AJ61" s="3" t="n">
        <v>7</v>
      </c>
      <c r="AK61" s="6" t="s">
        <v>648</v>
      </c>
      <c r="AL61" s="0" t="s">
        <v>64</v>
      </c>
    </row>
    <row r="62" customFormat="false" ht="23.25" hidden="false" customHeight="true" outlineLevel="0" collapsed="false">
      <c r="A62" s="3" t="s">
        <v>649</v>
      </c>
      <c r="B62" s="4" t="s">
        <v>650</v>
      </c>
      <c r="C62" s="4" t="s">
        <v>651</v>
      </c>
      <c r="D62" s="3" t="s">
        <v>68</v>
      </c>
      <c r="E62" s="3" t="s">
        <v>107</v>
      </c>
      <c r="F62" s="3" t="s">
        <v>196</v>
      </c>
      <c r="G62" s="4" t="s">
        <v>652</v>
      </c>
      <c r="H62" s="4" t="s">
        <v>653</v>
      </c>
      <c r="I62" s="4" t="s">
        <v>46</v>
      </c>
      <c r="J62" s="3" t="s">
        <v>208</v>
      </c>
      <c r="K62" s="4" t="s">
        <v>570</v>
      </c>
      <c r="L62" s="5" t="n">
        <v>25000</v>
      </c>
      <c r="M62" s="4" t="n">
        <v>0</v>
      </c>
      <c r="N62" s="4" t="n">
        <v>0</v>
      </c>
      <c r="O62" s="4" t="n">
        <v>0</v>
      </c>
      <c r="P62" s="5" t="n">
        <v>25000</v>
      </c>
      <c r="Q62" s="5" t="n">
        <f aca="false">SUM(M62:P62)</f>
        <v>25000</v>
      </c>
      <c r="R62" s="3" t="s">
        <v>60</v>
      </c>
      <c r="S62" s="4"/>
      <c r="T62" s="4"/>
      <c r="U62" s="4"/>
      <c r="V62" s="3"/>
      <c r="W62" s="4"/>
      <c r="X62" s="4" t="s">
        <v>154</v>
      </c>
      <c r="Y62" s="4" t="s">
        <v>77</v>
      </c>
      <c r="Z62" s="4" t="s">
        <v>95</v>
      </c>
      <c r="AA62" s="4" t="s">
        <v>363</v>
      </c>
      <c r="AB62" s="3" t="s">
        <v>57</v>
      </c>
      <c r="AC62" s="4" t="s">
        <v>654</v>
      </c>
      <c r="AD62" s="4" t="s">
        <v>81</v>
      </c>
      <c r="AE62" s="3" t="s">
        <v>60</v>
      </c>
      <c r="AF62" s="3" t="s">
        <v>60</v>
      </c>
      <c r="AG62" s="4" t="n">
        <v>1</v>
      </c>
      <c r="AH62" s="4" t="s">
        <v>61</v>
      </c>
      <c r="AI62" s="4" t="s">
        <v>118</v>
      </c>
      <c r="AJ62" s="3" t="n">
        <v>8</v>
      </c>
      <c r="AK62" s="6" t="s">
        <v>655</v>
      </c>
      <c r="AL62" s="0" t="s">
        <v>85</v>
      </c>
    </row>
    <row r="63" customFormat="false" ht="23.25" hidden="false" customHeight="true" outlineLevel="0" collapsed="false">
      <c r="A63" s="3" t="s">
        <v>656</v>
      </c>
      <c r="B63" s="4" t="s">
        <v>657</v>
      </c>
      <c r="C63" s="4" t="s">
        <v>658</v>
      </c>
      <c r="D63" s="3" t="s">
        <v>68</v>
      </c>
      <c r="E63" s="3" t="s">
        <v>195</v>
      </c>
      <c r="F63" s="3" t="s">
        <v>196</v>
      </c>
      <c r="G63" s="4" t="s">
        <v>659</v>
      </c>
      <c r="H63" s="4" t="s">
        <v>660</v>
      </c>
      <c r="I63" s="4" t="s">
        <v>125</v>
      </c>
      <c r="J63" s="3" t="s">
        <v>221</v>
      </c>
      <c r="K63" s="4"/>
      <c r="L63" s="4"/>
      <c r="M63" s="4" t="n">
        <v>0</v>
      </c>
      <c r="N63" s="4" t="n">
        <v>0</v>
      </c>
      <c r="O63" s="4" t="n">
        <v>0</v>
      </c>
      <c r="P63" s="4" t="n">
        <v>0</v>
      </c>
      <c r="Q63" s="5" t="n">
        <f aca="false">SUM(M63:P63)</f>
        <v>0</v>
      </c>
      <c r="R63" s="3" t="s">
        <v>60</v>
      </c>
      <c r="S63" s="4"/>
      <c r="T63" s="4"/>
      <c r="U63" s="4"/>
      <c r="V63" s="3"/>
      <c r="W63" s="4"/>
      <c r="X63" s="4"/>
      <c r="Y63" s="4" t="s">
        <v>661</v>
      </c>
      <c r="Z63" s="4" t="s">
        <v>114</v>
      </c>
      <c r="AA63" s="4" t="s">
        <v>78</v>
      </c>
      <c r="AB63" s="3" t="s">
        <v>79</v>
      </c>
      <c r="AC63" s="4" t="s">
        <v>662</v>
      </c>
      <c r="AD63" s="4" t="s">
        <v>312</v>
      </c>
      <c r="AE63" s="3" t="s">
        <v>60</v>
      </c>
      <c r="AF63" s="3" t="s">
        <v>60</v>
      </c>
      <c r="AG63" s="4" t="n">
        <v>0</v>
      </c>
      <c r="AH63" s="4" t="s">
        <v>100</v>
      </c>
      <c r="AI63" s="4" t="s">
        <v>118</v>
      </c>
      <c r="AJ63" s="3" t="n">
        <v>7</v>
      </c>
      <c r="AK63" s="6" t="s">
        <v>663</v>
      </c>
      <c r="AL63" s="0" t="s">
        <v>102</v>
      </c>
    </row>
    <row r="64" customFormat="false" ht="23.25" hidden="false" customHeight="true" outlineLevel="0" collapsed="false">
      <c r="A64" s="3" t="s">
        <v>664</v>
      </c>
      <c r="B64" s="4" t="s">
        <v>665</v>
      </c>
      <c r="C64" s="4" t="s">
        <v>666</v>
      </c>
      <c r="D64" s="3" t="s">
        <v>68</v>
      </c>
      <c r="E64" s="3" t="s">
        <v>107</v>
      </c>
      <c r="F64" s="3" t="s">
        <v>196</v>
      </c>
      <c r="G64" s="4" t="s">
        <v>667</v>
      </c>
      <c r="H64" s="4" t="s">
        <v>668</v>
      </c>
      <c r="I64" s="4" t="s">
        <v>175</v>
      </c>
      <c r="J64" s="3" t="s">
        <v>208</v>
      </c>
      <c r="K64" s="4" t="s">
        <v>209</v>
      </c>
      <c r="L64" s="5" t="n">
        <v>20000</v>
      </c>
      <c r="M64" s="4" t="n">
        <v>0</v>
      </c>
      <c r="N64" s="4" t="n">
        <v>0</v>
      </c>
      <c r="O64" s="4" t="n">
        <v>0</v>
      </c>
      <c r="P64" s="5" t="n">
        <v>20000</v>
      </c>
      <c r="Q64" s="5" t="n">
        <f aca="false">SUM(M64:P64)</f>
        <v>20000</v>
      </c>
      <c r="R64" s="3" t="s">
        <v>60</v>
      </c>
      <c r="S64" s="4"/>
      <c r="T64" s="4"/>
      <c r="U64" s="4"/>
      <c r="V64" s="3"/>
      <c r="W64" s="4"/>
      <c r="X64" s="4" t="s">
        <v>154</v>
      </c>
      <c r="Y64" s="4" t="s">
        <v>478</v>
      </c>
      <c r="Z64" s="4" t="s">
        <v>95</v>
      </c>
      <c r="AA64" s="4" t="s">
        <v>231</v>
      </c>
      <c r="AB64" s="3" t="s">
        <v>178</v>
      </c>
      <c r="AC64" s="4" t="s">
        <v>669</v>
      </c>
      <c r="AD64" s="4" t="s">
        <v>59</v>
      </c>
      <c r="AE64" s="3" t="s">
        <v>60</v>
      </c>
      <c r="AF64" s="3" t="s">
        <v>60</v>
      </c>
      <c r="AG64" s="4" t="n">
        <v>1</v>
      </c>
      <c r="AH64" s="4" t="s">
        <v>100</v>
      </c>
      <c r="AI64" s="4" t="s">
        <v>118</v>
      </c>
      <c r="AJ64" s="3" t="n">
        <v>7</v>
      </c>
      <c r="AK64" s="6" t="s">
        <v>670</v>
      </c>
      <c r="AL64" s="0" t="s">
        <v>64</v>
      </c>
    </row>
    <row r="65" customFormat="false" ht="23.25" hidden="false" customHeight="true" outlineLevel="0" collapsed="false">
      <c r="A65" s="3" t="s">
        <v>671</v>
      </c>
      <c r="B65" s="4" t="s">
        <v>672</v>
      </c>
      <c r="C65" s="4" t="s">
        <v>673</v>
      </c>
      <c r="D65" s="3" t="s">
        <v>41</v>
      </c>
      <c r="E65" s="3" t="s">
        <v>237</v>
      </c>
      <c r="F65" s="3" t="s">
        <v>196</v>
      </c>
      <c r="G65" s="4" t="s">
        <v>674</v>
      </c>
      <c r="H65" s="4" t="s">
        <v>675</v>
      </c>
      <c r="I65" s="4" t="s">
        <v>110</v>
      </c>
      <c r="J65" s="3" t="s">
        <v>221</v>
      </c>
      <c r="K65" s="4"/>
      <c r="L65" s="4"/>
      <c r="M65" s="4" t="n">
        <v>0</v>
      </c>
      <c r="N65" s="4" t="n">
        <v>0</v>
      </c>
      <c r="O65" s="4" t="n">
        <v>0</v>
      </c>
      <c r="P65" s="4" t="n">
        <v>0</v>
      </c>
      <c r="Q65" s="5" t="n">
        <f aca="false">SUM(M65:P65)</f>
        <v>0</v>
      </c>
      <c r="R65" s="3" t="s">
        <v>60</v>
      </c>
      <c r="S65" s="4"/>
      <c r="T65" s="4"/>
      <c r="U65" s="4"/>
      <c r="V65" s="3"/>
      <c r="W65" s="4"/>
      <c r="X65" s="4"/>
      <c r="Y65" s="4" t="s">
        <v>676</v>
      </c>
      <c r="Z65" s="4" t="s">
        <v>55</v>
      </c>
      <c r="AA65" s="4" t="s">
        <v>290</v>
      </c>
      <c r="AB65" s="3" t="s">
        <v>242</v>
      </c>
      <c r="AC65" s="4" t="s">
        <v>677</v>
      </c>
      <c r="AD65" s="4" t="s">
        <v>407</v>
      </c>
      <c r="AE65" s="3" t="s">
        <v>60</v>
      </c>
      <c r="AF65" s="3" t="s">
        <v>60</v>
      </c>
      <c r="AG65" s="4" t="n">
        <v>2</v>
      </c>
      <c r="AH65" s="4" t="s">
        <v>61</v>
      </c>
      <c r="AI65" s="4" t="s">
        <v>118</v>
      </c>
      <c r="AJ65" s="3" t="n">
        <v>8</v>
      </c>
      <c r="AK65" s="6" t="s">
        <v>678</v>
      </c>
      <c r="AL65" s="0" t="s">
        <v>102</v>
      </c>
    </row>
    <row r="66" customFormat="false" ht="23.25" hidden="false" customHeight="true" outlineLevel="0" collapsed="false">
      <c r="A66" s="3" t="s">
        <v>679</v>
      </c>
      <c r="B66" s="4" t="s">
        <v>680</v>
      </c>
      <c r="C66" s="4" t="s">
        <v>681</v>
      </c>
      <c r="D66" s="3" t="s">
        <v>106</v>
      </c>
      <c r="E66" s="3" t="s">
        <v>218</v>
      </c>
      <c r="F66" s="3" t="s">
        <v>196</v>
      </c>
      <c r="G66" s="4" t="s">
        <v>682</v>
      </c>
      <c r="H66" s="4" t="s">
        <v>683</v>
      </c>
      <c r="I66" s="4" t="s">
        <v>91</v>
      </c>
      <c r="J66" s="3" t="s">
        <v>221</v>
      </c>
      <c r="K66" s="4"/>
      <c r="L66" s="4"/>
      <c r="M66" s="4" t="n">
        <v>0</v>
      </c>
      <c r="N66" s="4" t="n">
        <v>0</v>
      </c>
      <c r="O66" s="4" t="n">
        <v>0</v>
      </c>
      <c r="P66" s="4" t="n">
        <v>0</v>
      </c>
      <c r="Q66" s="5" t="n">
        <f aca="false">SUM(M66:P66)</f>
        <v>0</v>
      </c>
      <c r="R66" s="3" t="s">
        <v>60</v>
      </c>
      <c r="S66" s="4"/>
      <c r="T66" s="4"/>
      <c r="U66" s="4"/>
      <c r="V66" s="3"/>
      <c r="W66" s="4"/>
      <c r="X66" s="4"/>
      <c r="Y66" s="4"/>
      <c r="Z66" s="4" t="s">
        <v>95</v>
      </c>
      <c r="AA66" s="4" t="s">
        <v>380</v>
      </c>
      <c r="AB66" s="3" t="s">
        <v>223</v>
      </c>
      <c r="AC66" s="4" t="s">
        <v>684</v>
      </c>
      <c r="AD66" s="4" t="s">
        <v>333</v>
      </c>
      <c r="AE66" s="3" t="s">
        <v>60</v>
      </c>
      <c r="AF66" s="3" t="s">
        <v>60</v>
      </c>
      <c r="AG66" s="4" t="n">
        <v>0</v>
      </c>
      <c r="AH66" s="4" t="s">
        <v>157</v>
      </c>
      <c r="AI66" s="4" t="s">
        <v>213</v>
      </c>
      <c r="AJ66" s="3" t="n">
        <v>5</v>
      </c>
      <c r="AK66" s="6" t="s">
        <v>685</v>
      </c>
      <c r="AL66" s="0" t="s">
        <v>64</v>
      </c>
    </row>
    <row r="67" customFormat="false" ht="23.25" hidden="false" customHeight="true" outlineLevel="0" collapsed="false">
      <c r="A67" s="3" t="s">
        <v>686</v>
      </c>
      <c r="B67" s="4" t="s">
        <v>687</v>
      </c>
      <c r="C67" s="4" t="s">
        <v>688</v>
      </c>
      <c r="D67" s="3" t="s">
        <v>68</v>
      </c>
      <c r="E67" s="3" t="s">
        <v>195</v>
      </c>
      <c r="F67" s="3" t="s">
        <v>196</v>
      </c>
      <c r="G67" s="4" t="s">
        <v>689</v>
      </c>
      <c r="H67" s="4" t="s">
        <v>690</v>
      </c>
      <c r="I67" s="4" t="s">
        <v>186</v>
      </c>
      <c r="J67" s="3" t="s">
        <v>221</v>
      </c>
      <c r="K67" s="4"/>
      <c r="L67" s="4"/>
      <c r="M67" s="4" t="n">
        <v>0</v>
      </c>
      <c r="N67" s="4" t="n">
        <v>0</v>
      </c>
      <c r="O67" s="4" t="n">
        <v>0</v>
      </c>
      <c r="P67" s="4" t="n">
        <v>0</v>
      </c>
      <c r="Q67" s="5" t="n">
        <f aca="false">SUM(M67:P67)</f>
        <v>0</v>
      </c>
      <c r="R67" s="3" t="s">
        <v>60</v>
      </c>
      <c r="S67" s="4"/>
      <c r="T67" s="4"/>
      <c r="U67" s="4"/>
      <c r="V67" s="3"/>
      <c r="W67" s="4"/>
      <c r="X67" s="4"/>
      <c r="Y67" s="4" t="s">
        <v>691</v>
      </c>
      <c r="Z67" s="4" t="s">
        <v>114</v>
      </c>
      <c r="AA67" s="4" t="s">
        <v>143</v>
      </c>
      <c r="AB67" s="3" t="s">
        <v>79</v>
      </c>
      <c r="AC67" s="4" t="s">
        <v>692</v>
      </c>
      <c r="AD67" s="4" t="s">
        <v>117</v>
      </c>
      <c r="AE67" s="3" t="s">
        <v>60</v>
      </c>
      <c r="AF67" s="3" t="s">
        <v>60</v>
      </c>
      <c r="AG67" s="4" t="n">
        <v>0</v>
      </c>
      <c r="AH67" s="4" t="s">
        <v>100</v>
      </c>
      <c r="AI67" s="4" t="s">
        <v>118</v>
      </c>
      <c r="AJ67" s="3" t="n">
        <v>7</v>
      </c>
      <c r="AK67" s="6" t="s">
        <v>693</v>
      </c>
      <c r="AL67" s="0" t="s">
        <v>102</v>
      </c>
    </row>
    <row r="68" customFormat="false" ht="23.25" hidden="false" customHeight="true" outlineLevel="0" collapsed="false">
      <c r="A68" s="3" t="s">
        <v>694</v>
      </c>
      <c r="B68" s="4" t="s">
        <v>695</v>
      </c>
      <c r="C68" s="4" t="s">
        <v>696</v>
      </c>
      <c r="D68" s="3" t="s">
        <v>106</v>
      </c>
      <c r="E68" s="3" t="s">
        <v>107</v>
      </c>
      <c r="F68" s="3" t="s">
        <v>196</v>
      </c>
      <c r="G68" s="4" t="s">
        <v>697</v>
      </c>
      <c r="H68" s="4" t="s">
        <v>698</v>
      </c>
      <c r="I68" s="4" t="s">
        <v>139</v>
      </c>
      <c r="J68" s="3" t="s">
        <v>208</v>
      </c>
      <c r="K68" s="4" t="s">
        <v>363</v>
      </c>
      <c r="L68" s="5" t="n">
        <v>15000</v>
      </c>
      <c r="M68" s="4" t="n">
        <v>0</v>
      </c>
      <c r="N68" s="4" t="n">
        <v>0</v>
      </c>
      <c r="O68" s="4" t="n">
        <v>0</v>
      </c>
      <c r="P68" s="5" t="n">
        <v>15000</v>
      </c>
      <c r="Q68" s="5" t="n">
        <f aca="false">SUM(M68:P68)</f>
        <v>15000</v>
      </c>
      <c r="R68" s="3" t="s">
        <v>60</v>
      </c>
      <c r="S68" s="4"/>
      <c r="T68" s="4"/>
      <c r="U68" s="4"/>
      <c r="V68" s="3"/>
      <c r="W68" s="4"/>
      <c r="X68" s="4" t="s">
        <v>154</v>
      </c>
      <c r="Y68" s="4" t="s">
        <v>331</v>
      </c>
      <c r="Z68" s="4" t="s">
        <v>95</v>
      </c>
      <c r="AA68" s="4" t="s">
        <v>129</v>
      </c>
      <c r="AB68" s="3" t="s">
        <v>79</v>
      </c>
      <c r="AC68" s="4" t="s">
        <v>699</v>
      </c>
      <c r="AD68" s="4" t="s">
        <v>59</v>
      </c>
      <c r="AE68" s="3" t="s">
        <v>60</v>
      </c>
      <c r="AF68" s="3" t="s">
        <v>60</v>
      </c>
      <c r="AG68" s="4" t="n">
        <v>1</v>
      </c>
      <c r="AH68" s="4" t="s">
        <v>157</v>
      </c>
      <c r="AI68" s="4" t="s">
        <v>118</v>
      </c>
      <c r="AJ68" s="3" t="n">
        <v>6</v>
      </c>
      <c r="AK68" s="6" t="s">
        <v>700</v>
      </c>
      <c r="AL68" s="0" t="s">
        <v>64</v>
      </c>
    </row>
    <row r="69" customFormat="false" ht="23.25" hidden="false" customHeight="true" outlineLevel="0" collapsed="false">
      <c r="A69" s="3" t="s">
        <v>701</v>
      </c>
      <c r="B69" s="4" t="s">
        <v>702</v>
      </c>
      <c r="C69" s="4" t="s">
        <v>703</v>
      </c>
      <c r="D69" s="3" t="s">
        <v>41</v>
      </c>
      <c r="E69" s="3" t="s">
        <v>218</v>
      </c>
      <c r="F69" s="3" t="s">
        <v>196</v>
      </c>
      <c r="G69" s="4" t="s">
        <v>704</v>
      </c>
      <c r="H69" s="4" t="s">
        <v>705</v>
      </c>
      <c r="I69" s="4" t="s">
        <v>175</v>
      </c>
      <c r="J69" s="3" t="s">
        <v>221</v>
      </c>
      <c r="K69" s="4"/>
      <c r="L69" s="4"/>
      <c r="M69" s="4" t="n">
        <v>0</v>
      </c>
      <c r="N69" s="4" t="n">
        <v>0</v>
      </c>
      <c r="O69" s="4" t="n">
        <v>0</v>
      </c>
      <c r="P69" s="4" t="n">
        <v>0</v>
      </c>
      <c r="Q69" s="5" t="n">
        <f aca="false">SUM(M69:P69)</f>
        <v>0</v>
      </c>
      <c r="R69" s="3" t="s">
        <v>60</v>
      </c>
      <c r="S69" s="4"/>
      <c r="T69" s="4"/>
      <c r="U69" s="4"/>
      <c r="V69" s="3"/>
      <c r="W69" s="4"/>
      <c r="X69" s="4"/>
      <c r="Y69" s="4"/>
      <c r="Z69" s="4" t="s">
        <v>114</v>
      </c>
      <c r="AA69" s="4" t="s">
        <v>189</v>
      </c>
      <c r="AB69" s="3" t="s">
        <v>223</v>
      </c>
      <c r="AC69" s="4" t="s">
        <v>706</v>
      </c>
      <c r="AD69" s="4" t="s">
        <v>59</v>
      </c>
      <c r="AE69" s="3" t="s">
        <v>60</v>
      </c>
      <c r="AF69" s="3" t="s">
        <v>60</v>
      </c>
      <c r="AG69" s="4" t="n">
        <v>0</v>
      </c>
      <c r="AH69" s="4" t="s">
        <v>157</v>
      </c>
      <c r="AI69" s="4" t="s">
        <v>213</v>
      </c>
      <c r="AJ69" s="3" t="n">
        <v>5</v>
      </c>
      <c r="AK69" s="6" t="s">
        <v>707</v>
      </c>
      <c r="AL69" s="0" t="s">
        <v>102</v>
      </c>
    </row>
    <row r="70" customFormat="false" ht="15" hidden="false" customHeight="true" outlineLevel="0" collapsed="false">
      <c r="A70" s="3" t="s">
        <v>708</v>
      </c>
      <c r="B70" s="4" t="s">
        <v>709</v>
      </c>
      <c r="C70" s="4" t="s">
        <v>710</v>
      </c>
      <c r="D70" s="3" t="s">
        <v>106</v>
      </c>
      <c r="E70" s="3" t="s">
        <v>107</v>
      </c>
      <c r="F70" s="3" t="s">
        <v>196</v>
      </c>
      <c r="G70" s="4" t="s">
        <v>711</v>
      </c>
      <c r="H70" s="4" t="s">
        <v>712</v>
      </c>
      <c r="I70" s="4" t="s">
        <v>46</v>
      </c>
      <c r="J70" s="3" t="s">
        <v>208</v>
      </c>
      <c r="K70" s="4" t="s">
        <v>115</v>
      </c>
      <c r="L70" s="5" t="n">
        <v>10000</v>
      </c>
      <c r="M70" s="4" t="n">
        <v>0</v>
      </c>
      <c r="N70" s="4" t="n">
        <v>0</v>
      </c>
      <c r="O70" s="4" t="n">
        <v>0</v>
      </c>
      <c r="P70" s="5" t="n">
        <v>10000</v>
      </c>
      <c r="Q70" s="5" t="n">
        <f aca="false">SUM(M70:P70)</f>
        <v>10000</v>
      </c>
      <c r="R70" s="3" t="s">
        <v>60</v>
      </c>
      <c r="S70" s="4"/>
      <c r="T70" s="4"/>
      <c r="U70" s="4"/>
      <c r="V70" s="3"/>
      <c r="W70" s="4"/>
      <c r="X70" s="4" t="s">
        <v>154</v>
      </c>
      <c r="Y70" s="4" t="s">
        <v>77</v>
      </c>
      <c r="Z70" s="4" t="s">
        <v>95</v>
      </c>
      <c r="AA70" s="4" t="s">
        <v>300</v>
      </c>
      <c r="AB70" s="3" t="s">
        <v>97</v>
      </c>
      <c r="AC70" s="4" t="s">
        <v>713</v>
      </c>
      <c r="AD70" s="4" t="s">
        <v>81</v>
      </c>
      <c r="AE70" s="3" t="s">
        <v>60</v>
      </c>
      <c r="AF70" s="3" t="s">
        <v>60</v>
      </c>
      <c r="AG70" s="4" t="n">
        <v>1</v>
      </c>
      <c r="AH70" s="4" t="s">
        <v>157</v>
      </c>
      <c r="AI70" s="4" t="s">
        <v>118</v>
      </c>
      <c r="AJ70" s="3" t="n">
        <v>6</v>
      </c>
      <c r="AK70" s="6" t="s">
        <v>714</v>
      </c>
      <c r="AL70" s="0" t="s">
        <v>85</v>
      </c>
    </row>
    <row r="71" customFormat="false" ht="23.25" hidden="false" customHeight="true" outlineLevel="0" collapsed="false">
      <c r="A71" s="3" t="s">
        <v>715</v>
      </c>
      <c r="B71" s="4" t="s">
        <v>716</v>
      </c>
      <c r="C71" s="4" t="s">
        <v>717</v>
      </c>
      <c r="D71" s="3" t="s">
        <v>68</v>
      </c>
      <c r="E71" s="3" t="s">
        <v>237</v>
      </c>
      <c r="F71" s="3" t="s">
        <v>196</v>
      </c>
      <c r="G71" s="4" t="s">
        <v>718</v>
      </c>
      <c r="H71" s="4" t="s">
        <v>719</v>
      </c>
      <c r="I71" s="4" t="s">
        <v>110</v>
      </c>
      <c r="J71" s="3" t="s">
        <v>221</v>
      </c>
      <c r="K71" s="4"/>
      <c r="L71" s="4"/>
      <c r="M71" s="4" t="n">
        <v>0</v>
      </c>
      <c r="N71" s="4" t="n">
        <v>0</v>
      </c>
      <c r="O71" s="4" t="n">
        <v>0</v>
      </c>
      <c r="P71" s="4" t="n">
        <v>0</v>
      </c>
      <c r="Q71" s="5" t="n">
        <f aca="false">SUM(M71:P71)</f>
        <v>0</v>
      </c>
      <c r="R71" s="3" t="s">
        <v>60</v>
      </c>
      <c r="S71" s="4"/>
      <c r="T71" s="4"/>
      <c r="U71" s="4"/>
      <c r="V71" s="3"/>
      <c r="W71" s="4"/>
      <c r="X71" s="4"/>
      <c r="Y71" s="4" t="s">
        <v>362</v>
      </c>
      <c r="Z71" s="4" t="s">
        <v>55</v>
      </c>
      <c r="AA71" s="4" t="s">
        <v>405</v>
      </c>
      <c r="AB71" s="3" t="s">
        <v>242</v>
      </c>
      <c r="AC71" s="4" t="s">
        <v>720</v>
      </c>
      <c r="AD71" s="4" t="s">
        <v>721</v>
      </c>
      <c r="AE71" s="3" t="s">
        <v>60</v>
      </c>
      <c r="AF71" s="3" t="s">
        <v>60</v>
      </c>
      <c r="AG71" s="4" t="n">
        <v>1</v>
      </c>
      <c r="AH71" s="4" t="s">
        <v>61</v>
      </c>
      <c r="AI71" s="4" t="s">
        <v>118</v>
      </c>
      <c r="AJ71" s="3" t="n">
        <v>8</v>
      </c>
      <c r="AK71" s="6" t="s">
        <v>722</v>
      </c>
      <c r="AL71" s="0" t="s">
        <v>64</v>
      </c>
    </row>
    <row r="72" customFormat="false" ht="23.25" hidden="false" customHeight="true" outlineLevel="0" collapsed="false">
      <c r="A72" s="3" t="s">
        <v>723</v>
      </c>
      <c r="B72" s="4" t="s">
        <v>724</v>
      </c>
      <c r="C72" s="4" t="s">
        <v>725</v>
      </c>
      <c r="D72" s="3" t="s">
        <v>106</v>
      </c>
      <c r="E72" s="3" t="s">
        <v>195</v>
      </c>
      <c r="F72" s="3" t="s">
        <v>196</v>
      </c>
      <c r="G72" s="4" t="s">
        <v>726</v>
      </c>
      <c r="H72" s="4" t="s">
        <v>727</v>
      </c>
      <c r="I72" s="4" t="s">
        <v>46</v>
      </c>
      <c r="J72" s="3" t="s">
        <v>221</v>
      </c>
      <c r="K72" s="4"/>
      <c r="L72" s="4"/>
      <c r="M72" s="4" t="n">
        <v>0</v>
      </c>
      <c r="N72" s="4" t="n">
        <v>0</v>
      </c>
      <c r="O72" s="4" t="n">
        <v>0</v>
      </c>
      <c r="P72" s="4" t="n">
        <v>0</v>
      </c>
      <c r="Q72" s="5" t="n">
        <f aca="false">SUM(M72:P72)</f>
        <v>0</v>
      </c>
      <c r="R72" s="3" t="s">
        <v>60</v>
      </c>
      <c r="S72" s="4"/>
      <c r="T72" s="4"/>
      <c r="U72" s="4"/>
      <c r="V72" s="3"/>
      <c r="W72" s="4"/>
      <c r="X72" s="4"/>
      <c r="Y72" s="4" t="s">
        <v>77</v>
      </c>
      <c r="Z72" s="4" t="s">
        <v>95</v>
      </c>
      <c r="AA72" s="4" t="s">
        <v>290</v>
      </c>
      <c r="AB72" s="3" t="s">
        <v>79</v>
      </c>
      <c r="AC72" s="4" t="s">
        <v>728</v>
      </c>
      <c r="AD72" s="4" t="s">
        <v>729</v>
      </c>
      <c r="AE72" s="3" t="s">
        <v>60</v>
      </c>
      <c r="AF72" s="3" t="s">
        <v>60</v>
      </c>
      <c r="AG72" s="4" t="n">
        <v>0</v>
      </c>
      <c r="AH72" s="4" t="s">
        <v>157</v>
      </c>
      <c r="AI72" s="4" t="s">
        <v>118</v>
      </c>
      <c r="AJ72" s="3" t="n">
        <v>6</v>
      </c>
      <c r="AK72" s="6" t="s">
        <v>730</v>
      </c>
      <c r="AL72" s="0" t="s">
        <v>85</v>
      </c>
    </row>
    <row r="73" customFormat="false" ht="23.25" hidden="false" customHeight="true" outlineLevel="0" collapsed="false">
      <c r="A73" s="3" t="s">
        <v>731</v>
      </c>
      <c r="B73" s="4" t="s">
        <v>732</v>
      </c>
      <c r="C73" s="4" t="s">
        <v>733</v>
      </c>
      <c r="D73" s="3" t="s">
        <v>41</v>
      </c>
      <c r="E73" s="3" t="s">
        <v>218</v>
      </c>
      <c r="F73" s="3" t="s">
        <v>196</v>
      </c>
      <c r="G73" s="4" t="s">
        <v>734</v>
      </c>
      <c r="H73" s="4" t="s">
        <v>735</v>
      </c>
      <c r="I73" s="4" t="s">
        <v>110</v>
      </c>
      <c r="J73" s="3" t="s">
        <v>221</v>
      </c>
      <c r="K73" s="4"/>
      <c r="L73" s="4"/>
      <c r="M73" s="4" t="n">
        <v>0</v>
      </c>
      <c r="N73" s="4" t="n">
        <v>0</v>
      </c>
      <c r="O73" s="4" t="n">
        <v>0</v>
      </c>
      <c r="P73" s="4" t="n">
        <v>0</v>
      </c>
      <c r="Q73" s="5" t="n">
        <f aca="false">SUM(M73:P73)</f>
        <v>0</v>
      </c>
      <c r="R73" s="3" t="s">
        <v>60</v>
      </c>
      <c r="S73" s="4"/>
      <c r="T73" s="4"/>
      <c r="U73" s="4"/>
      <c r="V73" s="3"/>
      <c r="W73" s="4"/>
      <c r="X73" s="4"/>
      <c r="Y73" s="4"/>
      <c r="Z73" s="4" t="s">
        <v>114</v>
      </c>
      <c r="AA73" s="4" t="s">
        <v>341</v>
      </c>
      <c r="AB73" s="3" t="s">
        <v>223</v>
      </c>
      <c r="AC73" s="4" t="s">
        <v>539</v>
      </c>
      <c r="AD73" s="4" t="s">
        <v>59</v>
      </c>
      <c r="AE73" s="3" t="s">
        <v>60</v>
      </c>
      <c r="AF73" s="3" t="s">
        <v>60</v>
      </c>
      <c r="AG73" s="4" t="n">
        <v>0</v>
      </c>
      <c r="AH73" s="4" t="s">
        <v>61</v>
      </c>
      <c r="AI73" s="4" t="s">
        <v>280</v>
      </c>
      <c r="AJ73" s="3" t="n">
        <v>6</v>
      </c>
      <c r="AK73" s="6" t="s">
        <v>736</v>
      </c>
      <c r="AL73" s="0" t="s">
        <v>102</v>
      </c>
    </row>
    <row r="74" customFormat="false" ht="23.25" hidden="false" customHeight="true" outlineLevel="0" collapsed="false">
      <c r="A74" s="3" t="s">
        <v>737</v>
      </c>
      <c r="B74" s="4" t="s">
        <v>738</v>
      </c>
      <c r="C74" s="4" t="s">
        <v>739</v>
      </c>
      <c r="D74" s="3" t="s">
        <v>106</v>
      </c>
      <c r="E74" s="3" t="s">
        <v>107</v>
      </c>
      <c r="F74" s="3" t="s">
        <v>196</v>
      </c>
      <c r="G74" s="4" t="s">
        <v>740</v>
      </c>
      <c r="H74" s="4" t="s">
        <v>741</v>
      </c>
      <c r="I74" s="4" t="s">
        <v>175</v>
      </c>
      <c r="J74" s="3" t="s">
        <v>208</v>
      </c>
      <c r="K74" s="4" t="s">
        <v>310</v>
      </c>
      <c r="L74" s="5" t="n">
        <v>10000</v>
      </c>
      <c r="M74" s="4" t="n">
        <v>0</v>
      </c>
      <c r="N74" s="4" t="n">
        <v>0</v>
      </c>
      <c r="O74" s="4" t="n">
        <v>0</v>
      </c>
      <c r="P74" s="5" t="n">
        <v>10000</v>
      </c>
      <c r="Q74" s="5" t="n">
        <f aca="false">SUM(M74:P74)</f>
        <v>10000</v>
      </c>
      <c r="R74" s="3" t="s">
        <v>60</v>
      </c>
      <c r="S74" s="4"/>
      <c r="T74" s="4"/>
      <c r="U74" s="4"/>
      <c r="V74" s="3"/>
      <c r="W74" s="4"/>
      <c r="X74" s="4" t="s">
        <v>154</v>
      </c>
      <c r="Y74" s="4" t="s">
        <v>569</v>
      </c>
      <c r="Z74" s="4" t="s">
        <v>95</v>
      </c>
      <c r="AA74" s="4" t="s">
        <v>742</v>
      </c>
      <c r="AB74" s="3" t="s">
        <v>178</v>
      </c>
      <c r="AC74" s="4" t="s">
        <v>743</v>
      </c>
      <c r="AD74" s="4" t="s">
        <v>81</v>
      </c>
      <c r="AE74" s="3" t="s">
        <v>60</v>
      </c>
      <c r="AF74" s="3" t="s">
        <v>60</v>
      </c>
      <c r="AG74" s="4" t="n">
        <v>1</v>
      </c>
      <c r="AH74" s="4" t="s">
        <v>157</v>
      </c>
      <c r="AI74" s="4" t="s">
        <v>118</v>
      </c>
      <c r="AJ74" s="3" t="n">
        <v>6</v>
      </c>
      <c r="AK74" s="6" t="s">
        <v>744</v>
      </c>
      <c r="AL74" s="0" t="s">
        <v>102</v>
      </c>
    </row>
    <row r="75" customFormat="false" ht="15" hidden="false" customHeight="true" outlineLevel="0" collapsed="false">
      <c r="A75" s="3" t="s">
        <v>745</v>
      </c>
      <c r="B75" s="4" t="s">
        <v>746</v>
      </c>
      <c r="C75" s="4" t="s">
        <v>747</v>
      </c>
      <c r="D75" s="3" t="s">
        <v>106</v>
      </c>
      <c r="E75" s="3" t="s">
        <v>42</v>
      </c>
      <c r="F75" s="3" t="s">
        <v>43</v>
      </c>
      <c r="G75" s="4" t="s">
        <v>748</v>
      </c>
      <c r="H75" s="4" t="s">
        <v>749</v>
      </c>
      <c r="I75" s="4" t="s">
        <v>125</v>
      </c>
      <c r="J75" s="3" t="s">
        <v>208</v>
      </c>
      <c r="K75" s="4" t="s">
        <v>750</v>
      </c>
      <c r="L75" s="5" t="n">
        <v>10000</v>
      </c>
      <c r="M75" s="4" t="n">
        <v>0</v>
      </c>
      <c r="N75" s="4" t="n">
        <v>0</v>
      </c>
      <c r="O75" s="5" t="n">
        <v>10000</v>
      </c>
      <c r="P75" s="5" t="n">
        <v>15000</v>
      </c>
      <c r="Q75" s="5" t="n">
        <f aca="false">SUM(M75:P75)</f>
        <v>25000</v>
      </c>
      <c r="R75" s="3" t="s">
        <v>60</v>
      </c>
      <c r="S75" s="4"/>
      <c r="T75" s="4"/>
      <c r="U75" s="4"/>
      <c r="V75" s="3"/>
      <c r="W75" s="4"/>
      <c r="X75" s="4" t="s">
        <v>154</v>
      </c>
      <c r="Y75" s="4" t="s">
        <v>128</v>
      </c>
      <c r="Z75" s="4" t="s">
        <v>114</v>
      </c>
      <c r="AA75" s="4" t="s">
        <v>209</v>
      </c>
      <c r="AB75" s="3" t="s">
        <v>130</v>
      </c>
      <c r="AC75" s="4" t="s">
        <v>751</v>
      </c>
      <c r="AD75" s="4" t="s">
        <v>333</v>
      </c>
      <c r="AE75" s="3" t="s">
        <v>60</v>
      </c>
      <c r="AF75" s="3" t="s">
        <v>60</v>
      </c>
      <c r="AG75" s="4" t="n">
        <v>1</v>
      </c>
      <c r="AH75" s="4" t="s">
        <v>157</v>
      </c>
      <c r="AI75" s="4" t="s">
        <v>118</v>
      </c>
      <c r="AJ75" s="3" t="n">
        <v>6</v>
      </c>
      <c r="AK75" s="6" t="s">
        <v>752</v>
      </c>
      <c r="AL75" s="0" t="s">
        <v>64</v>
      </c>
    </row>
    <row r="76" customFormat="false" ht="23.25" hidden="false" customHeight="true" outlineLevel="0" collapsed="false">
      <c r="A76" s="3" t="s">
        <v>753</v>
      </c>
      <c r="B76" s="4" t="s">
        <v>754</v>
      </c>
      <c r="C76" s="4" t="s">
        <v>755</v>
      </c>
      <c r="D76" s="3" t="s">
        <v>68</v>
      </c>
      <c r="E76" s="3" t="s">
        <v>42</v>
      </c>
      <c r="F76" s="3" t="s">
        <v>43</v>
      </c>
      <c r="G76" s="4" t="s">
        <v>756</v>
      </c>
      <c r="H76" s="4" t="s">
        <v>757</v>
      </c>
      <c r="I76" s="4" t="s">
        <v>46</v>
      </c>
      <c r="J76" s="3" t="s">
        <v>152</v>
      </c>
      <c r="K76" s="4" t="s">
        <v>758</v>
      </c>
      <c r="L76" s="5" t="n">
        <v>20000</v>
      </c>
      <c r="M76" s="5" t="n">
        <v>25000</v>
      </c>
      <c r="N76" s="5" t="n">
        <v>30000</v>
      </c>
      <c r="O76" s="5" t="n">
        <v>35000</v>
      </c>
      <c r="P76" s="5" t="n">
        <v>50000</v>
      </c>
      <c r="Q76" s="5" t="n">
        <f aca="false">SUM(M76:P76)</f>
        <v>140000</v>
      </c>
      <c r="R76" s="3" t="s">
        <v>60</v>
      </c>
      <c r="S76" s="4"/>
      <c r="T76" s="4"/>
      <c r="U76" s="4"/>
      <c r="V76" s="3"/>
      <c r="W76" s="4"/>
      <c r="X76" s="4" t="s">
        <v>759</v>
      </c>
      <c r="Y76" s="4" t="s">
        <v>478</v>
      </c>
      <c r="Z76" s="4" t="s">
        <v>95</v>
      </c>
      <c r="AA76" s="4" t="s">
        <v>200</v>
      </c>
      <c r="AB76" s="3" t="s">
        <v>79</v>
      </c>
      <c r="AC76" s="4" t="s">
        <v>760</v>
      </c>
      <c r="AD76" s="4" t="s">
        <v>59</v>
      </c>
      <c r="AE76" s="3" t="s">
        <v>60</v>
      </c>
      <c r="AF76" s="3" t="s">
        <v>60</v>
      </c>
      <c r="AG76" s="4" t="n">
        <v>2</v>
      </c>
      <c r="AH76" s="4" t="s">
        <v>157</v>
      </c>
      <c r="AI76" s="4" t="s">
        <v>83</v>
      </c>
      <c r="AJ76" s="3" t="n">
        <v>7</v>
      </c>
      <c r="AK76" s="6" t="s">
        <v>761</v>
      </c>
      <c r="AL76" s="0" t="s">
        <v>85</v>
      </c>
    </row>
    <row r="77" customFormat="false" ht="23.25" hidden="false" customHeight="true" outlineLevel="0" collapsed="false">
      <c r="A77" s="3" t="s">
        <v>762</v>
      </c>
      <c r="B77" s="4" t="s">
        <v>763</v>
      </c>
      <c r="C77" s="4" t="s">
        <v>764</v>
      </c>
      <c r="D77" s="3" t="s">
        <v>41</v>
      </c>
      <c r="E77" s="3" t="s">
        <v>249</v>
      </c>
      <c r="F77" s="3" t="s">
        <v>250</v>
      </c>
      <c r="G77" s="4" t="s">
        <v>765</v>
      </c>
      <c r="H77" s="4" t="s">
        <v>766</v>
      </c>
      <c r="I77" s="4" t="s">
        <v>125</v>
      </c>
      <c r="J77" s="3" t="s">
        <v>152</v>
      </c>
      <c r="K77" s="4" t="s">
        <v>767</v>
      </c>
      <c r="L77" s="5" t="n">
        <v>30000</v>
      </c>
      <c r="M77" s="5" t="n">
        <v>35000</v>
      </c>
      <c r="N77" s="5" t="n">
        <v>40000</v>
      </c>
      <c r="O77" s="5" t="n">
        <v>20000</v>
      </c>
      <c r="P77" s="4" t="n">
        <v>0</v>
      </c>
      <c r="Q77" s="5" t="n">
        <f aca="false">SUM(M77:P77)</f>
        <v>95000</v>
      </c>
      <c r="R77" s="3" t="s">
        <v>60</v>
      </c>
      <c r="S77" s="4"/>
      <c r="T77" s="4"/>
      <c r="U77" s="4"/>
      <c r="V77" s="3"/>
      <c r="W77" s="4"/>
      <c r="X77" s="4" t="s">
        <v>768</v>
      </c>
      <c r="Y77" s="4" t="s">
        <v>128</v>
      </c>
      <c r="Z77" s="4" t="s">
        <v>55</v>
      </c>
      <c r="AA77" s="4" t="s">
        <v>431</v>
      </c>
      <c r="AB77" s="3" t="s">
        <v>79</v>
      </c>
      <c r="AC77" s="4" t="s">
        <v>769</v>
      </c>
      <c r="AD77" s="4" t="s">
        <v>81</v>
      </c>
      <c r="AE77" s="3" t="s">
        <v>60</v>
      </c>
      <c r="AF77" s="3" t="s">
        <v>258</v>
      </c>
      <c r="AG77" s="4" t="n">
        <v>0</v>
      </c>
      <c r="AH77" s="4" t="s">
        <v>100</v>
      </c>
      <c r="AI77" s="4" t="s">
        <v>118</v>
      </c>
      <c r="AJ77" s="3" t="n">
        <v>7</v>
      </c>
      <c r="AK77" s="6" t="s">
        <v>770</v>
      </c>
      <c r="AL77" s="0" t="s">
        <v>64</v>
      </c>
    </row>
    <row r="78" customFormat="false" ht="23.25" hidden="false" customHeight="true" outlineLevel="0" collapsed="false">
      <c r="A78" s="3" t="s">
        <v>771</v>
      </c>
      <c r="B78" s="4" t="s">
        <v>772</v>
      </c>
      <c r="C78" s="4" t="s">
        <v>773</v>
      </c>
      <c r="D78" s="3" t="s">
        <v>106</v>
      </c>
      <c r="E78" s="3" t="s">
        <v>249</v>
      </c>
      <c r="F78" s="3" t="s">
        <v>250</v>
      </c>
      <c r="G78" s="4" t="s">
        <v>774</v>
      </c>
      <c r="H78" s="4" t="s">
        <v>775</v>
      </c>
      <c r="I78" s="4" t="s">
        <v>186</v>
      </c>
      <c r="J78" s="3" t="s">
        <v>208</v>
      </c>
      <c r="K78" s="4" t="s">
        <v>776</v>
      </c>
      <c r="L78" s="5" t="n">
        <v>10000</v>
      </c>
      <c r="M78" s="5" t="n">
        <v>10000</v>
      </c>
      <c r="N78" s="5" t="n">
        <v>15000</v>
      </c>
      <c r="O78" s="4" t="n">
        <v>0</v>
      </c>
      <c r="P78" s="4" t="n">
        <v>0</v>
      </c>
      <c r="Q78" s="5" t="n">
        <f aca="false">SUM(M78:P78)</f>
        <v>25000</v>
      </c>
      <c r="R78" s="3" t="s">
        <v>60</v>
      </c>
      <c r="S78" s="4"/>
      <c r="T78" s="4"/>
      <c r="U78" s="4"/>
      <c r="V78" s="3"/>
      <c r="W78" s="4"/>
      <c r="X78" s="4" t="s">
        <v>154</v>
      </c>
      <c r="Y78" s="4" t="s">
        <v>128</v>
      </c>
      <c r="Z78" s="4" t="s">
        <v>114</v>
      </c>
      <c r="AA78" s="4" t="s">
        <v>266</v>
      </c>
      <c r="AB78" s="3" t="s">
        <v>267</v>
      </c>
      <c r="AC78" s="4" t="s">
        <v>777</v>
      </c>
      <c r="AD78" s="4" t="s">
        <v>99</v>
      </c>
      <c r="AE78" s="3" t="s">
        <v>60</v>
      </c>
      <c r="AF78" s="3" t="s">
        <v>60</v>
      </c>
      <c r="AG78" s="4" t="n">
        <v>0</v>
      </c>
      <c r="AH78" s="4" t="s">
        <v>157</v>
      </c>
      <c r="AI78" s="4" t="s">
        <v>213</v>
      </c>
      <c r="AJ78" s="3" t="n">
        <v>5</v>
      </c>
      <c r="AK78" s="6" t="s">
        <v>778</v>
      </c>
      <c r="AL78" s="0" t="s">
        <v>102</v>
      </c>
    </row>
    <row r="79" customFormat="false" ht="23.25" hidden="false" customHeight="true" outlineLevel="0" collapsed="false">
      <c r="A79" s="3" t="s">
        <v>779</v>
      </c>
      <c r="B79" s="4" t="s">
        <v>780</v>
      </c>
      <c r="C79" s="4" t="s">
        <v>781</v>
      </c>
      <c r="D79" s="3" t="s">
        <v>41</v>
      </c>
      <c r="E79" s="3" t="s">
        <v>273</v>
      </c>
      <c r="F79" s="3" t="s">
        <v>274</v>
      </c>
      <c r="G79" s="4" t="s">
        <v>782</v>
      </c>
      <c r="H79" s="4" t="s">
        <v>783</v>
      </c>
      <c r="I79" s="4" t="s">
        <v>110</v>
      </c>
      <c r="J79" s="3" t="s">
        <v>221</v>
      </c>
      <c r="K79" s="4"/>
      <c r="L79" s="4"/>
      <c r="M79" s="4" t="n">
        <v>0</v>
      </c>
      <c r="N79" s="4" t="n">
        <v>0</v>
      </c>
      <c r="O79" s="4" t="n">
        <v>0</v>
      </c>
      <c r="P79" s="4" t="n">
        <v>0</v>
      </c>
      <c r="Q79" s="5" t="n">
        <f aca="false">SUM(M79:P79)</f>
        <v>0</v>
      </c>
      <c r="R79" s="3" t="s">
        <v>60</v>
      </c>
      <c r="S79" s="4"/>
      <c r="T79" s="4"/>
      <c r="U79" s="4"/>
      <c r="V79" s="3"/>
      <c r="W79" s="4"/>
      <c r="X79" s="4"/>
      <c r="Y79" s="4"/>
      <c r="Z79" s="4" t="s">
        <v>55</v>
      </c>
      <c r="AA79" s="4" t="s">
        <v>784</v>
      </c>
      <c r="AB79" s="3" t="s">
        <v>79</v>
      </c>
      <c r="AC79" s="4" t="s">
        <v>785</v>
      </c>
      <c r="AD79" s="4" t="s">
        <v>786</v>
      </c>
      <c r="AE79" s="3" t="s">
        <v>60</v>
      </c>
      <c r="AF79" s="3" t="s">
        <v>60</v>
      </c>
      <c r="AG79" s="4" t="n">
        <v>0</v>
      </c>
      <c r="AH79" s="4" t="s">
        <v>61</v>
      </c>
      <c r="AI79" s="4" t="s">
        <v>280</v>
      </c>
      <c r="AJ79" s="3" t="n">
        <v>6</v>
      </c>
      <c r="AK79" s="6" t="s">
        <v>787</v>
      </c>
      <c r="AL79" s="0" t="s">
        <v>102</v>
      </c>
    </row>
    <row r="80" customFormat="false" ht="15" hidden="false" customHeight="true" outlineLevel="0" collapsed="false">
      <c r="A80" s="3" t="s">
        <v>788</v>
      </c>
      <c r="B80" s="4" t="s">
        <v>789</v>
      </c>
      <c r="C80" s="4" t="s">
        <v>790</v>
      </c>
      <c r="D80" s="3" t="s">
        <v>106</v>
      </c>
      <c r="E80" s="3" t="s">
        <v>273</v>
      </c>
      <c r="F80" s="3" t="s">
        <v>274</v>
      </c>
      <c r="G80" s="4" t="s">
        <v>791</v>
      </c>
      <c r="H80" s="4" t="s">
        <v>792</v>
      </c>
      <c r="I80" s="4" t="s">
        <v>125</v>
      </c>
      <c r="J80" s="3" t="s">
        <v>221</v>
      </c>
      <c r="K80" s="4"/>
      <c r="L80" s="4"/>
      <c r="M80" s="4" t="n">
        <v>0</v>
      </c>
      <c r="N80" s="4" t="n">
        <v>0</v>
      </c>
      <c r="O80" s="4" t="n">
        <v>0</v>
      </c>
      <c r="P80" s="4" t="n">
        <v>0</v>
      </c>
      <c r="Q80" s="5" t="n">
        <f aca="false">SUM(M80:P80)</f>
        <v>0</v>
      </c>
      <c r="R80" s="3" t="s">
        <v>60</v>
      </c>
      <c r="S80" s="4"/>
      <c r="T80" s="4"/>
      <c r="U80" s="4"/>
      <c r="V80" s="3"/>
      <c r="W80" s="4"/>
      <c r="X80" s="4"/>
      <c r="Y80" s="4"/>
      <c r="Z80" s="4" t="s">
        <v>114</v>
      </c>
      <c r="AA80" s="4" t="s">
        <v>793</v>
      </c>
      <c r="AB80" s="3" t="s">
        <v>97</v>
      </c>
      <c r="AC80" s="4" t="s">
        <v>794</v>
      </c>
      <c r="AD80" s="4" t="s">
        <v>795</v>
      </c>
      <c r="AE80" s="3" t="s">
        <v>60</v>
      </c>
      <c r="AF80" s="3" t="s">
        <v>60</v>
      </c>
      <c r="AG80" s="4" t="n">
        <v>0</v>
      </c>
      <c r="AH80" s="4" t="s">
        <v>157</v>
      </c>
      <c r="AI80" s="4" t="s">
        <v>280</v>
      </c>
      <c r="AJ80" s="3" t="n">
        <v>4</v>
      </c>
      <c r="AK80" s="6" t="s">
        <v>796</v>
      </c>
      <c r="AL80" s="0" t="s">
        <v>102</v>
      </c>
    </row>
    <row r="81" customFormat="false" ht="23.25" hidden="false" customHeight="true" outlineLevel="0" collapsed="false">
      <c r="A81" s="3" t="s">
        <v>797</v>
      </c>
      <c r="B81" s="4" t="s">
        <v>798</v>
      </c>
      <c r="C81" s="4" t="s">
        <v>799</v>
      </c>
      <c r="D81" s="3" t="s">
        <v>41</v>
      </c>
      <c r="E81" s="3" t="s">
        <v>273</v>
      </c>
      <c r="F81" s="3" t="s">
        <v>274</v>
      </c>
      <c r="G81" s="4" t="s">
        <v>800</v>
      </c>
      <c r="H81" s="4" t="s">
        <v>801</v>
      </c>
      <c r="I81" s="4" t="s">
        <v>110</v>
      </c>
      <c r="J81" s="3" t="s">
        <v>221</v>
      </c>
      <c r="K81" s="4"/>
      <c r="L81" s="4"/>
      <c r="M81" s="4" t="n">
        <v>0</v>
      </c>
      <c r="N81" s="4" t="n">
        <v>0</v>
      </c>
      <c r="O81" s="4" t="n">
        <v>0</v>
      </c>
      <c r="P81" s="4" t="n">
        <v>0</v>
      </c>
      <c r="Q81" s="5" t="n">
        <f aca="false">SUM(M81:P81)</f>
        <v>0</v>
      </c>
      <c r="R81" s="3" t="s">
        <v>60</v>
      </c>
      <c r="S81" s="4"/>
      <c r="T81" s="4"/>
      <c r="U81" s="4"/>
      <c r="V81" s="3"/>
      <c r="W81" s="4"/>
      <c r="X81" s="4"/>
      <c r="Y81" s="4"/>
      <c r="Z81" s="4" t="s">
        <v>55</v>
      </c>
      <c r="AA81" s="4" t="s">
        <v>802</v>
      </c>
      <c r="AB81" s="3" t="s">
        <v>57</v>
      </c>
      <c r="AC81" s="4" t="s">
        <v>803</v>
      </c>
      <c r="AD81" s="4" t="s">
        <v>365</v>
      </c>
      <c r="AE81" s="3" t="s">
        <v>60</v>
      </c>
      <c r="AF81" s="3" t="s">
        <v>60</v>
      </c>
      <c r="AG81" s="4" t="n">
        <v>1</v>
      </c>
      <c r="AH81" s="4" t="s">
        <v>61</v>
      </c>
      <c r="AI81" s="4" t="s">
        <v>280</v>
      </c>
      <c r="AJ81" s="3" t="n">
        <v>6</v>
      </c>
      <c r="AK81" s="6" t="s">
        <v>804</v>
      </c>
      <c r="AL81" s="0" t="s">
        <v>102</v>
      </c>
    </row>
  </sheetData>
  <autoFilter ref="A1:AK1"/>
  <conditionalFormatting sqref="F2:F100">
    <cfRule type="cellIs" priority="2" operator="equal" aboveAverage="0" equalAverage="0" bottom="0" percent="0" rank="0" text="" dxfId="2">
      <formula>"Lapsed"</formula>
    </cfRule>
    <cfRule type="cellIs" priority="3" operator="equal" aboveAverage="0" equalAverage="0" bottom="0" percent="0" rank="0" text="" dxfId="3">
      <formula>"Inactive"</formula>
    </cfRule>
    <cfRule type="cellIs" priority="4" operator="equal" aboveAverage="0" equalAverage="0" bottom="0" percent="0" rank="0" text="" dxfId="4">
      <formula>"Prospect"</formula>
    </cfRule>
    <cfRule type="cellIs" priority="5" operator="equal" aboveAverage="0" equalAverage="0" bottom="0" percent="0" rank="0" text="" dxfId="5">
      <formula>"Active"</formula>
    </cfRule>
  </conditionalFormatting>
  <dataValidations count="8">
    <dataValidation allowBlank="false" error="Please select from the list" errorStyle="stop" errorTitle="Invalid Entry" operator="between" showDropDown="false" showErrorMessage="false" showInputMessage="false" sqref="E2:E100" type="list">
      <formula1>"Identification,Qualification,Cultivation,Solicitation,Stewardship,Re-engagement,Closed - Declined"</formula1>
      <formula2>0</formula2>
    </dataValidation>
    <dataValidation allowBlank="false" error="Please select from the list" errorStyle="stop" errorTitle="Invalid Entry" operator="between" showDropDown="false" showErrorMessage="false" showInputMessage="false" sqref="F2:F100" type="list">
      <formula1>"Active,Prospect,Lapsed,Inactive"</formula1>
      <formula2>0</formula2>
    </dataValidation>
    <dataValidation allowBlank="false" error="Please select from the list" errorStyle="stop" errorTitle="Invalid Entry" operator="between" showDropDown="false" showErrorMessage="false" showInputMessage="false" sqref="D2:D100" type="list">
      <formula1>"Individual/Family,Foundation,Corporate,Government,Other"</formula1>
      <formula2>0</formula2>
    </dataValidation>
    <dataValidation allowBlank="false" error="Please select from the list" errorStyle="stop" errorTitle="Invalid Entry" operator="between" showDropDown="false" showErrorMessage="false" showInputMessage="false" sqref="J2:J100" type="list">
      <formula1>"Transformational,Major,Mid-Level,Entry,None"</formula1>
      <formula2>0</formula2>
    </dataValidation>
    <dataValidation allowBlank="false" error="Please select from the list" errorStyle="stop" errorTitle="Invalid Entry" operator="between" showDropDown="false" showErrorMessage="false" showInputMessage="false" sqref="R2:R100 AE2:AE100" type="list">
      <formula1>"Yes,No"</formula1>
      <formula2>0</formula2>
    </dataValidation>
    <dataValidation allowBlank="false" error="Please select from the list" errorStyle="stop" errorTitle="Invalid Entry" operator="between" showDropDown="false" showErrorMessage="false" showInputMessage="false" sqref="AH2:AH100" type="list">
      <formula1>"A ($1M+),B ($500K-$1M),C ($100K-$500K),D ($50K-$100K),E (&lt;$50K)"</formula1>
      <formula2>0</formula2>
    </dataValidation>
    <dataValidation allowBlank="false" error="Please select from the list" errorStyle="stop" errorTitle="Invalid Entry" operator="between" showDropDown="false" showErrorMessage="false" showInputMessage="false" sqref="AI2:AI100" type="list">
      <formula1>"Very High,High,Medium,Low,Very Low"</formula1>
      <formula2>0</formula2>
    </dataValidation>
    <dataValidation allowBlank="false" error="Please select from the list" errorStyle="stop" errorTitle="Invalid Entry" operator="between" showDropDown="false" showErrorMessage="false" showInputMessage="false" sqref="AB2:AB100" type="list">
      <formula1>"Phone call,Email,In-person meeting,Event follow-up,Proposal submitted,Holiday card + call,Research"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36"/>
    <col collapsed="false" customWidth="true" hidden="false" outlineLevel="0" max="8" min="8" style="1" width="18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5" min="13" style="1" width="14"/>
    <col collapsed="false" customWidth="true" hidden="false" outlineLevel="0" max="17" min="16" style="1" width="16"/>
    <col collapsed="false" customWidth="true" hidden="false" outlineLevel="0" max="19" min="18" style="1" width="14"/>
    <col collapsed="false" customWidth="true" hidden="false" outlineLevel="0" max="21" min="20" style="1" width="13"/>
    <col collapsed="false" customWidth="true" hidden="false" outlineLevel="0" max="23" min="22" style="1" width="16"/>
    <col collapsed="false" customWidth="true" hidden="false" outlineLevel="0" max="24" min="24" style="1" width="40"/>
    <col collapsed="false" customWidth="true" hidden="false" outlineLevel="0" max="25" min="25" style="1" width="28"/>
    <col collapsed="false" customWidth="true" hidden="false" outlineLevel="0" max="26" min="26" style="1" width="16"/>
    <col collapsed="false" customWidth="true" hidden="false" outlineLevel="0" max="27" min="27" style="1" width="14"/>
    <col collapsed="false" customWidth="true" hidden="false" outlineLevel="0" max="28" min="28" style="1" width="18"/>
    <col collapsed="false" customWidth="true" hidden="false" outlineLevel="0" max="29" min="29" style="1" width="40"/>
    <col collapsed="false" customWidth="true" hidden="false" outlineLevel="0" max="30" min="30" style="1" width="14"/>
    <col collapsed="false" customWidth="true" hidden="false" outlineLevel="0" max="31" min="31" style="1" width="12"/>
    <col collapsed="false" customWidth="true" hidden="false" outlineLevel="0" max="33" min="32" style="1" width="14"/>
    <col collapsed="false" customWidth="true" hidden="false" outlineLevel="0" max="34" min="34" style="1" width="16"/>
    <col collapsed="false" customWidth="true" hidden="false" outlineLevel="0" max="35" min="35" style="1" width="14"/>
    <col collapsed="false" customWidth="true" hidden="false" outlineLevel="0" max="36" min="36" style="1" width="12"/>
    <col collapsed="false" customWidth="true" hidden="false" outlineLevel="0" max="37" min="37" style="1" width="60"/>
    <col collapsed="false" customWidth="true" hidden="false" outlineLevel="0" max="38" min="38" style="0" width="15"/>
  </cols>
  <sheetData>
    <row r="1" customFormat="false" ht="5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23.25" hidden="false" customHeight="true" outlineLevel="0" collapsed="false">
      <c r="A2" s="3" t="s">
        <v>38</v>
      </c>
      <c r="B2" s="4" t="s">
        <v>39</v>
      </c>
      <c r="C2" s="4" t="s">
        <v>40</v>
      </c>
      <c r="D2" s="3" t="s">
        <v>41</v>
      </c>
      <c r="E2" s="3" t="s">
        <v>237</v>
      </c>
      <c r="F2" s="3" t="s">
        <v>43</v>
      </c>
      <c r="G2" s="4" t="s">
        <v>44</v>
      </c>
      <c r="H2" s="4" t="s">
        <v>45</v>
      </c>
      <c r="I2" s="4" t="s">
        <v>46</v>
      </c>
      <c r="J2" s="3" t="s">
        <v>47</v>
      </c>
      <c r="K2" s="3" t="s">
        <v>48</v>
      </c>
      <c r="L2" s="5" t="n">
        <v>100000</v>
      </c>
      <c r="M2" s="5" t="n">
        <v>350000</v>
      </c>
      <c r="N2" s="5" t="n">
        <v>400000</v>
      </c>
      <c r="O2" s="5" t="n">
        <v>450000</v>
      </c>
      <c r="P2" s="5" t="n">
        <v>341200</v>
      </c>
      <c r="Q2" s="5" t="n">
        <f aca="false">SUM(M2:P2)</f>
        <v>1541200</v>
      </c>
      <c r="R2" s="3" t="s">
        <v>49</v>
      </c>
      <c r="S2" s="5" t="n">
        <v>2500000</v>
      </c>
      <c r="T2" s="4" t="s">
        <v>50</v>
      </c>
      <c r="U2" s="4" t="s">
        <v>51</v>
      </c>
      <c r="V2" s="3" t="s">
        <v>52</v>
      </c>
      <c r="W2" s="5" t="n">
        <v>450000</v>
      </c>
      <c r="X2" s="4" t="s">
        <v>53</v>
      </c>
      <c r="Y2" s="4" t="s">
        <v>54</v>
      </c>
      <c r="Z2" s="4" t="s">
        <v>55</v>
      </c>
      <c r="AA2" s="3" t="s">
        <v>56</v>
      </c>
      <c r="AB2" s="3" t="s">
        <v>57</v>
      </c>
      <c r="AC2" s="4" t="s">
        <v>58</v>
      </c>
      <c r="AD2" s="3" t="s">
        <v>59</v>
      </c>
      <c r="AE2" s="3" t="s">
        <v>60</v>
      </c>
      <c r="AF2" s="3" t="s">
        <v>60</v>
      </c>
      <c r="AG2" s="4" t="n">
        <v>3</v>
      </c>
      <c r="AH2" s="4" t="s">
        <v>61</v>
      </c>
      <c r="AI2" s="4" t="s">
        <v>62</v>
      </c>
      <c r="AJ2" s="3" t="n">
        <v>8</v>
      </c>
      <c r="AK2" s="6" t="s">
        <v>63</v>
      </c>
      <c r="AL2" s="0" t="s">
        <v>64</v>
      </c>
    </row>
    <row r="3" customFormat="false" ht="15" hidden="false" customHeight="true" outlineLevel="0" collapsed="false">
      <c r="A3" s="3" t="s">
        <v>65</v>
      </c>
      <c r="B3" s="4" t="s">
        <v>66</v>
      </c>
      <c r="C3" s="4" t="s">
        <v>67</v>
      </c>
      <c r="D3" s="3" t="s">
        <v>68</v>
      </c>
      <c r="E3" s="3" t="s">
        <v>42</v>
      </c>
      <c r="F3" s="3" t="s">
        <v>43</v>
      </c>
      <c r="G3" s="4" t="s">
        <v>69</v>
      </c>
      <c r="H3" s="4" t="s">
        <v>70</v>
      </c>
      <c r="I3" s="4" t="s">
        <v>46</v>
      </c>
      <c r="J3" s="3" t="s">
        <v>71</v>
      </c>
      <c r="K3" s="3" t="s">
        <v>72</v>
      </c>
      <c r="L3" s="5" t="n">
        <v>50000</v>
      </c>
      <c r="M3" s="5" t="n">
        <v>150000</v>
      </c>
      <c r="N3" s="5" t="n">
        <v>200000</v>
      </c>
      <c r="O3" s="5" t="n">
        <v>250000</v>
      </c>
      <c r="P3" s="5" t="n">
        <v>166900</v>
      </c>
      <c r="Q3" s="5" t="n">
        <f aca="false">SUM(M3:P3)</f>
        <v>766900</v>
      </c>
      <c r="R3" s="3" t="s">
        <v>49</v>
      </c>
      <c r="S3" s="5" t="n">
        <v>1250000</v>
      </c>
      <c r="T3" s="4" t="s">
        <v>73</v>
      </c>
      <c r="U3" s="4" t="s">
        <v>74</v>
      </c>
      <c r="V3" s="3" t="s">
        <v>75</v>
      </c>
      <c r="W3" s="5" t="n">
        <v>250000</v>
      </c>
      <c r="X3" s="4" t="s">
        <v>76</v>
      </c>
      <c r="Y3" s="4" t="s">
        <v>77</v>
      </c>
      <c r="Z3" s="4" t="s">
        <v>55</v>
      </c>
      <c r="AA3" s="3" t="s">
        <v>78</v>
      </c>
      <c r="AB3" s="3" t="s">
        <v>79</v>
      </c>
      <c r="AC3" s="4" t="s">
        <v>80</v>
      </c>
      <c r="AD3" s="3" t="s">
        <v>81</v>
      </c>
      <c r="AE3" s="3" t="s">
        <v>60</v>
      </c>
      <c r="AF3" s="3" t="s">
        <v>82</v>
      </c>
      <c r="AG3" s="4" t="n">
        <v>2</v>
      </c>
      <c r="AH3" s="4" t="s">
        <v>61</v>
      </c>
      <c r="AI3" s="4" t="s">
        <v>83</v>
      </c>
      <c r="AJ3" s="3" t="n">
        <v>9</v>
      </c>
      <c r="AK3" s="6" t="s">
        <v>84</v>
      </c>
      <c r="AL3" s="0" t="s">
        <v>85</v>
      </c>
    </row>
    <row r="4" customFormat="false" ht="23.25" hidden="false" customHeight="true" outlineLevel="0" collapsed="false">
      <c r="A4" s="3" t="s">
        <v>86</v>
      </c>
      <c r="B4" s="4" t="s">
        <v>87</v>
      </c>
      <c r="C4" s="4" t="s">
        <v>88</v>
      </c>
      <c r="D4" s="3" t="s">
        <v>68</v>
      </c>
      <c r="E4" s="3" t="s">
        <v>42</v>
      </c>
      <c r="F4" s="3" t="s">
        <v>43</v>
      </c>
      <c r="G4" s="4" t="s">
        <v>89</v>
      </c>
      <c r="H4" s="4" t="s">
        <v>90</v>
      </c>
      <c r="I4" s="4" t="s">
        <v>91</v>
      </c>
      <c r="J4" s="3" t="s">
        <v>71</v>
      </c>
      <c r="K4" s="3" t="s">
        <v>92</v>
      </c>
      <c r="L4" s="5" t="n">
        <v>75000</v>
      </c>
      <c r="M4" s="5" t="n">
        <v>100000</v>
      </c>
      <c r="N4" s="5" t="n">
        <v>120000</v>
      </c>
      <c r="O4" s="5" t="n">
        <v>150000</v>
      </c>
      <c r="P4" s="5" t="n">
        <v>122000</v>
      </c>
      <c r="Q4" s="5" t="n">
        <f aca="false">SUM(M4:P4)</f>
        <v>492000</v>
      </c>
      <c r="R4" s="3" t="s">
        <v>49</v>
      </c>
      <c r="S4" s="5" t="n">
        <v>900000</v>
      </c>
      <c r="T4" s="4" t="s">
        <v>73</v>
      </c>
      <c r="U4" s="4" t="s">
        <v>74</v>
      </c>
      <c r="V4" s="3" t="s">
        <v>75</v>
      </c>
      <c r="W4" s="5" t="n">
        <v>180000</v>
      </c>
      <c r="X4" s="4" t="s">
        <v>93</v>
      </c>
      <c r="Y4" s="4" t="s">
        <v>94</v>
      </c>
      <c r="Z4" s="4" t="s">
        <v>95</v>
      </c>
      <c r="AA4" s="3" t="s">
        <v>96</v>
      </c>
      <c r="AB4" s="3" t="s">
        <v>97</v>
      </c>
      <c r="AC4" s="4" t="s">
        <v>98</v>
      </c>
      <c r="AD4" s="3" t="s">
        <v>99</v>
      </c>
      <c r="AE4" s="3" t="s">
        <v>60</v>
      </c>
      <c r="AF4" s="3" t="s">
        <v>60</v>
      </c>
      <c r="AG4" s="4" t="n">
        <v>2</v>
      </c>
      <c r="AH4" s="4" t="s">
        <v>100</v>
      </c>
      <c r="AI4" s="4" t="s">
        <v>62</v>
      </c>
      <c r="AJ4" s="3" t="n">
        <v>9</v>
      </c>
      <c r="AK4" s="6" t="s">
        <v>101</v>
      </c>
      <c r="AL4" s="0" t="s">
        <v>102</v>
      </c>
    </row>
    <row r="5" customFormat="false" ht="23.25" hidden="false" customHeight="true" outlineLevel="0" collapsed="false">
      <c r="A5" s="3" t="s">
        <v>103</v>
      </c>
      <c r="B5" s="4" t="s">
        <v>104</v>
      </c>
      <c r="C5" s="4" t="s">
        <v>105</v>
      </c>
      <c r="D5" s="3" t="s">
        <v>106</v>
      </c>
      <c r="E5" s="3" t="s">
        <v>107</v>
      </c>
      <c r="F5" s="3" t="s">
        <v>43</v>
      </c>
      <c r="G5" s="4" t="s">
        <v>108</v>
      </c>
      <c r="H5" s="4" t="s">
        <v>109</v>
      </c>
      <c r="I5" s="4" t="s">
        <v>110</v>
      </c>
      <c r="J5" s="3" t="s">
        <v>71</v>
      </c>
      <c r="K5" s="3" t="s">
        <v>111</v>
      </c>
      <c r="L5" s="5" t="n">
        <v>150000</v>
      </c>
      <c r="M5" s="4" t="n">
        <v>0</v>
      </c>
      <c r="N5" s="4" t="n">
        <v>0</v>
      </c>
      <c r="O5" s="4" t="n">
        <v>0</v>
      </c>
      <c r="P5" s="5" t="n">
        <v>118900</v>
      </c>
      <c r="Q5" s="5" t="n">
        <f aca="false">SUM(M5:P5)</f>
        <v>118900</v>
      </c>
      <c r="R5" s="3" t="s">
        <v>60</v>
      </c>
      <c r="S5" s="4"/>
      <c r="T5" s="4"/>
      <c r="U5" s="4"/>
      <c r="V5" s="3"/>
      <c r="W5" s="4"/>
      <c r="X5" s="4" t="s">
        <v>112</v>
      </c>
      <c r="Y5" s="4" t="s">
        <v>113</v>
      </c>
      <c r="Z5" s="4" t="s">
        <v>114</v>
      </c>
      <c r="AA5" s="3" t="s">
        <v>115</v>
      </c>
      <c r="AB5" s="3" t="s">
        <v>57</v>
      </c>
      <c r="AC5" s="4" t="s">
        <v>805</v>
      </c>
      <c r="AD5" s="3" t="s">
        <v>117</v>
      </c>
      <c r="AE5" s="3" t="s">
        <v>60</v>
      </c>
      <c r="AF5" s="3" t="s">
        <v>60</v>
      </c>
      <c r="AG5" s="4" t="n">
        <v>1</v>
      </c>
      <c r="AH5" s="4" t="s">
        <v>61</v>
      </c>
      <c r="AI5" s="4" t="s">
        <v>118</v>
      </c>
      <c r="AJ5" s="3" t="n">
        <v>8</v>
      </c>
      <c r="AK5" s="6" t="s">
        <v>119</v>
      </c>
      <c r="AL5" s="0" t="s">
        <v>64</v>
      </c>
    </row>
    <row r="6" customFormat="false" ht="15" hidden="false" customHeight="true" outlineLevel="0" collapsed="false">
      <c r="A6" s="3" t="s">
        <v>120</v>
      </c>
      <c r="B6" s="4" t="s">
        <v>121</v>
      </c>
      <c r="C6" s="4" t="s">
        <v>122</v>
      </c>
      <c r="D6" s="3" t="s">
        <v>41</v>
      </c>
      <c r="E6" s="3" t="s">
        <v>42</v>
      </c>
      <c r="F6" s="3" t="s">
        <v>43</v>
      </c>
      <c r="G6" s="4" t="s">
        <v>123</v>
      </c>
      <c r="H6" s="4" t="s">
        <v>124</v>
      </c>
      <c r="I6" s="4" t="s">
        <v>125</v>
      </c>
      <c r="J6" s="3" t="s">
        <v>71</v>
      </c>
      <c r="K6" s="3" t="s">
        <v>126</v>
      </c>
      <c r="L6" s="5" t="n">
        <v>50000</v>
      </c>
      <c r="M6" s="5" t="n">
        <v>75000</v>
      </c>
      <c r="N6" s="5" t="n">
        <v>85000</v>
      </c>
      <c r="O6" s="5" t="n">
        <v>100000</v>
      </c>
      <c r="P6" s="5" t="n">
        <v>61400</v>
      </c>
      <c r="Q6" s="5" t="n">
        <f aca="false">SUM(M6:P6)</f>
        <v>321400</v>
      </c>
      <c r="R6" s="3" t="s">
        <v>49</v>
      </c>
      <c r="S6" s="5" t="n">
        <v>500000</v>
      </c>
      <c r="T6" s="4" t="s">
        <v>73</v>
      </c>
      <c r="U6" s="4" t="s">
        <v>74</v>
      </c>
      <c r="V6" s="3" t="s">
        <v>75</v>
      </c>
      <c r="W6" s="5" t="n">
        <v>100000</v>
      </c>
      <c r="X6" s="4" t="s">
        <v>127</v>
      </c>
      <c r="Y6" s="4" t="s">
        <v>128</v>
      </c>
      <c r="Z6" s="4" t="s">
        <v>55</v>
      </c>
      <c r="AA6" s="3" t="s">
        <v>129</v>
      </c>
      <c r="AB6" s="3" t="s">
        <v>130</v>
      </c>
      <c r="AC6" s="4" t="s">
        <v>131</v>
      </c>
      <c r="AD6" s="3" t="s">
        <v>132</v>
      </c>
      <c r="AE6" s="3" t="s">
        <v>60</v>
      </c>
      <c r="AF6" s="3" t="s">
        <v>60</v>
      </c>
      <c r="AG6" s="4" t="n">
        <v>1</v>
      </c>
      <c r="AH6" s="4" t="s">
        <v>100</v>
      </c>
      <c r="AI6" s="4" t="s">
        <v>62</v>
      </c>
      <c r="AJ6" s="3" t="n">
        <v>9</v>
      </c>
      <c r="AK6" s="6" t="s">
        <v>133</v>
      </c>
      <c r="AL6" s="0" t="s">
        <v>64</v>
      </c>
    </row>
    <row r="7" customFormat="false" ht="15" hidden="false" customHeight="true" outlineLevel="0" collapsed="false">
      <c r="A7" s="3" t="s">
        <v>134</v>
      </c>
      <c r="B7" s="4" t="s">
        <v>135</v>
      </c>
      <c r="C7" s="4" t="s">
        <v>136</v>
      </c>
      <c r="D7" s="3" t="s">
        <v>68</v>
      </c>
      <c r="E7" s="3" t="s">
        <v>42</v>
      </c>
      <c r="F7" s="3" t="s">
        <v>43</v>
      </c>
      <c r="G7" s="4" t="s">
        <v>137</v>
      </c>
      <c r="H7" s="4" t="s">
        <v>138</v>
      </c>
      <c r="I7" s="4" t="s">
        <v>139</v>
      </c>
      <c r="J7" s="3" t="s">
        <v>71</v>
      </c>
      <c r="K7" s="3" t="s">
        <v>140</v>
      </c>
      <c r="L7" s="5" t="n">
        <v>60000</v>
      </c>
      <c r="M7" s="5" t="n">
        <v>80000</v>
      </c>
      <c r="N7" s="5" t="n">
        <v>100000</v>
      </c>
      <c r="O7" s="5" t="n">
        <v>110000</v>
      </c>
      <c r="P7" s="5" t="n">
        <v>78600</v>
      </c>
      <c r="Q7" s="5" t="n">
        <f aca="false">SUM(M7:P7)</f>
        <v>368600</v>
      </c>
      <c r="R7" s="3" t="s">
        <v>49</v>
      </c>
      <c r="S7" s="5" t="n">
        <v>625000</v>
      </c>
      <c r="T7" s="4" t="s">
        <v>73</v>
      </c>
      <c r="U7" s="4" t="s">
        <v>74</v>
      </c>
      <c r="V7" s="3" t="s">
        <v>75</v>
      </c>
      <c r="W7" s="5" t="n">
        <v>125000</v>
      </c>
      <c r="X7" s="4" t="s">
        <v>141</v>
      </c>
      <c r="Y7" s="4" t="s">
        <v>142</v>
      </c>
      <c r="Z7" s="4" t="s">
        <v>95</v>
      </c>
      <c r="AA7" s="3" t="s">
        <v>143</v>
      </c>
      <c r="AB7" s="3" t="s">
        <v>97</v>
      </c>
      <c r="AC7" s="4" t="s">
        <v>144</v>
      </c>
      <c r="AD7" s="3" t="s">
        <v>145</v>
      </c>
      <c r="AE7" s="3" t="s">
        <v>60</v>
      </c>
      <c r="AF7" s="3" t="s">
        <v>49</v>
      </c>
      <c r="AG7" s="4" t="n">
        <v>2</v>
      </c>
      <c r="AH7" s="4" t="s">
        <v>100</v>
      </c>
      <c r="AI7" s="4" t="s">
        <v>83</v>
      </c>
      <c r="AJ7" s="3" t="n">
        <v>7</v>
      </c>
      <c r="AK7" s="6" t="s">
        <v>146</v>
      </c>
      <c r="AL7" s="0" t="s">
        <v>85</v>
      </c>
    </row>
    <row r="8" customFormat="false" ht="15" hidden="false" customHeight="true" outlineLevel="0" collapsed="false">
      <c r="A8" s="3" t="s">
        <v>147</v>
      </c>
      <c r="B8" s="4" t="s">
        <v>148</v>
      </c>
      <c r="C8" s="4" t="s">
        <v>149</v>
      </c>
      <c r="D8" s="3" t="s">
        <v>106</v>
      </c>
      <c r="E8" s="3" t="s">
        <v>42</v>
      </c>
      <c r="F8" s="3" t="s">
        <v>43</v>
      </c>
      <c r="G8" s="4" t="s">
        <v>150</v>
      </c>
      <c r="H8" s="4" t="s">
        <v>151</v>
      </c>
      <c r="I8" s="4" t="s">
        <v>110</v>
      </c>
      <c r="J8" s="3" t="s">
        <v>152</v>
      </c>
      <c r="K8" s="3" t="s">
        <v>153</v>
      </c>
      <c r="L8" s="5" t="n">
        <v>25000</v>
      </c>
      <c r="M8" s="5" t="n">
        <v>25000</v>
      </c>
      <c r="N8" s="5" t="n">
        <v>35000</v>
      </c>
      <c r="O8" s="5" t="n">
        <v>50000</v>
      </c>
      <c r="P8" s="5" t="n">
        <v>53200</v>
      </c>
      <c r="Q8" s="5" t="n">
        <f aca="false">SUM(M8:P8)</f>
        <v>163200</v>
      </c>
      <c r="R8" s="3" t="s">
        <v>60</v>
      </c>
      <c r="S8" s="4"/>
      <c r="T8" s="4"/>
      <c r="U8" s="4"/>
      <c r="V8" s="3"/>
      <c r="W8" s="4"/>
      <c r="X8" s="4" t="s">
        <v>154</v>
      </c>
      <c r="Y8" s="4" t="s">
        <v>77</v>
      </c>
      <c r="Z8" s="4" t="s">
        <v>114</v>
      </c>
      <c r="AA8" s="3" t="s">
        <v>155</v>
      </c>
      <c r="AB8" s="3" t="s">
        <v>97</v>
      </c>
      <c r="AC8" s="4" t="s">
        <v>156</v>
      </c>
      <c r="AD8" s="3" t="s">
        <v>81</v>
      </c>
      <c r="AE8" s="3" t="s">
        <v>60</v>
      </c>
      <c r="AF8" s="3" t="s">
        <v>60</v>
      </c>
      <c r="AG8" s="4" t="n">
        <v>1</v>
      </c>
      <c r="AH8" s="4" t="s">
        <v>157</v>
      </c>
      <c r="AI8" s="4" t="s">
        <v>83</v>
      </c>
      <c r="AJ8" s="3" t="n">
        <v>8</v>
      </c>
      <c r="AK8" s="6" t="s">
        <v>158</v>
      </c>
      <c r="AL8" s="0" t="s">
        <v>102</v>
      </c>
    </row>
    <row r="9" customFormat="false" ht="23.25" hidden="false" customHeight="true" outlineLevel="0" collapsed="false">
      <c r="A9" s="3" t="s">
        <v>159</v>
      </c>
      <c r="B9" s="4" t="s">
        <v>160</v>
      </c>
      <c r="C9" s="4" t="s">
        <v>161</v>
      </c>
      <c r="D9" s="3" t="s">
        <v>68</v>
      </c>
      <c r="E9" s="3" t="s">
        <v>42</v>
      </c>
      <c r="F9" s="3" t="s">
        <v>43</v>
      </c>
      <c r="G9" s="4" t="s">
        <v>162</v>
      </c>
      <c r="H9" s="4" t="s">
        <v>163</v>
      </c>
      <c r="I9" s="4" t="s">
        <v>125</v>
      </c>
      <c r="J9" s="3" t="s">
        <v>152</v>
      </c>
      <c r="K9" s="3" t="s">
        <v>164</v>
      </c>
      <c r="L9" s="5" t="n">
        <v>40000</v>
      </c>
      <c r="M9" s="5" t="n">
        <v>50000</v>
      </c>
      <c r="N9" s="5" t="n">
        <v>65000</v>
      </c>
      <c r="O9" s="5" t="n">
        <v>75000</v>
      </c>
      <c r="P9" s="5" t="n">
        <v>68400</v>
      </c>
      <c r="Q9" s="5" t="n">
        <f aca="false">SUM(M9:P9)</f>
        <v>258400</v>
      </c>
      <c r="R9" s="3" t="s">
        <v>60</v>
      </c>
      <c r="S9" s="4"/>
      <c r="T9" s="4"/>
      <c r="U9" s="4"/>
      <c r="V9" s="3"/>
      <c r="W9" s="4"/>
      <c r="X9" s="4" t="s">
        <v>165</v>
      </c>
      <c r="Y9" s="4" t="s">
        <v>166</v>
      </c>
      <c r="Z9" s="4" t="s">
        <v>55</v>
      </c>
      <c r="AA9" s="3" t="s">
        <v>167</v>
      </c>
      <c r="AB9" s="3" t="s">
        <v>79</v>
      </c>
      <c r="AC9" s="4" t="s">
        <v>168</v>
      </c>
      <c r="AD9" s="3" t="s">
        <v>59</v>
      </c>
      <c r="AE9" s="3" t="s">
        <v>60</v>
      </c>
      <c r="AF9" s="3" t="s">
        <v>60</v>
      </c>
      <c r="AG9" s="4" t="n">
        <v>1</v>
      </c>
      <c r="AH9" s="4" t="s">
        <v>100</v>
      </c>
      <c r="AI9" s="4" t="s">
        <v>83</v>
      </c>
      <c r="AJ9" s="3" t="n">
        <v>7</v>
      </c>
      <c r="AK9" s="6" t="s">
        <v>169</v>
      </c>
      <c r="AL9" s="0" t="s">
        <v>64</v>
      </c>
    </row>
    <row r="10" customFormat="false" ht="23.25" hidden="false" customHeight="true" outlineLevel="0" collapsed="false">
      <c r="A10" s="3" t="s">
        <v>170</v>
      </c>
      <c r="B10" s="4" t="s">
        <v>171</v>
      </c>
      <c r="C10" s="4" t="s">
        <v>172</v>
      </c>
      <c r="D10" s="3" t="s">
        <v>106</v>
      </c>
      <c r="E10" s="3" t="s">
        <v>107</v>
      </c>
      <c r="F10" s="3" t="s">
        <v>196</v>
      </c>
      <c r="G10" s="4" t="s">
        <v>173</v>
      </c>
      <c r="H10" s="4" t="s">
        <v>174</v>
      </c>
      <c r="I10" s="4" t="s">
        <v>175</v>
      </c>
      <c r="J10" s="3" t="s">
        <v>152</v>
      </c>
      <c r="K10" s="3" t="s">
        <v>176</v>
      </c>
      <c r="L10" s="5" t="n">
        <v>50000</v>
      </c>
      <c r="M10" s="4" t="n">
        <v>0</v>
      </c>
      <c r="N10" s="4" t="n">
        <v>0</v>
      </c>
      <c r="O10" s="4" t="n">
        <v>0</v>
      </c>
      <c r="P10" s="5" t="n">
        <v>41900</v>
      </c>
      <c r="Q10" s="5" t="n">
        <f aca="false">SUM(M10:P10)</f>
        <v>41900</v>
      </c>
      <c r="R10" s="3" t="s">
        <v>60</v>
      </c>
      <c r="S10" s="4"/>
      <c r="T10" s="4"/>
      <c r="U10" s="4"/>
      <c r="V10" s="3"/>
      <c r="W10" s="4"/>
      <c r="X10" s="4" t="s">
        <v>154</v>
      </c>
      <c r="Y10" s="4" t="s">
        <v>177</v>
      </c>
      <c r="Z10" s="4" t="s">
        <v>95</v>
      </c>
      <c r="AA10" s="3" t="s">
        <v>176</v>
      </c>
      <c r="AB10" s="3" t="s">
        <v>178</v>
      </c>
      <c r="AC10" s="4" t="s">
        <v>806</v>
      </c>
      <c r="AD10" s="3" t="s">
        <v>99</v>
      </c>
      <c r="AE10" s="3" t="s">
        <v>60</v>
      </c>
      <c r="AF10" s="3" t="s">
        <v>60</v>
      </c>
      <c r="AG10" s="4" t="n">
        <v>1</v>
      </c>
      <c r="AH10" s="4" t="s">
        <v>157</v>
      </c>
      <c r="AI10" s="4" t="s">
        <v>118</v>
      </c>
      <c r="AJ10" s="3" t="n">
        <v>6</v>
      </c>
      <c r="AK10" s="6" t="s">
        <v>180</v>
      </c>
      <c r="AL10" s="0" t="s">
        <v>64</v>
      </c>
    </row>
    <row r="11" customFormat="false" ht="15" hidden="false" customHeight="true" outlineLevel="0" collapsed="false">
      <c r="A11" s="3" t="s">
        <v>181</v>
      </c>
      <c r="B11" s="4" t="s">
        <v>182</v>
      </c>
      <c r="C11" s="4" t="s">
        <v>183</v>
      </c>
      <c r="D11" s="3" t="s">
        <v>106</v>
      </c>
      <c r="E11" s="3" t="s">
        <v>42</v>
      </c>
      <c r="F11" s="3" t="s">
        <v>43</v>
      </c>
      <c r="G11" s="4" t="s">
        <v>184</v>
      </c>
      <c r="H11" s="4" t="s">
        <v>185</v>
      </c>
      <c r="I11" s="4" t="s">
        <v>186</v>
      </c>
      <c r="J11" s="3" t="s">
        <v>152</v>
      </c>
      <c r="K11" s="3" t="s">
        <v>187</v>
      </c>
      <c r="L11" s="5" t="n">
        <v>15000</v>
      </c>
      <c r="M11" s="5" t="n">
        <v>15000</v>
      </c>
      <c r="N11" s="5" t="n">
        <v>20000</v>
      </c>
      <c r="O11" s="5" t="n">
        <v>25000</v>
      </c>
      <c r="P11" s="5" t="n">
        <v>17500</v>
      </c>
      <c r="Q11" s="5" t="n">
        <f aca="false">SUM(M11:P11)</f>
        <v>77500</v>
      </c>
      <c r="R11" s="3" t="s">
        <v>60</v>
      </c>
      <c r="S11" s="4"/>
      <c r="T11" s="4"/>
      <c r="U11" s="4"/>
      <c r="V11" s="3"/>
      <c r="W11" s="4"/>
      <c r="X11" s="4" t="s">
        <v>154</v>
      </c>
      <c r="Y11" s="4" t="s">
        <v>188</v>
      </c>
      <c r="Z11" s="4" t="s">
        <v>114</v>
      </c>
      <c r="AA11" s="3" t="s">
        <v>189</v>
      </c>
      <c r="AB11" s="3" t="s">
        <v>57</v>
      </c>
      <c r="AC11" s="4" t="s">
        <v>190</v>
      </c>
      <c r="AD11" s="3" t="s">
        <v>117</v>
      </c>
      <c r="AE11" s="3" t="s">
        <v>60</v>
      </c>
      <c r="AF11" s="3" t="s">
        <v>60</v>
      </c>
      <c r="AG11" s="4" t="n">
        <v>2</v>
      </c>
      <c r="AH11" s="4" t="s">
        <v>157</v>
      </c>
      <c r="AI11" s="4" t="s">
        <v>83</v>
      </c>
      <c r="AJ11" s="3" t="n">
        <v>7</v>
      </c>
      <c r="AK11" s="6" t="s">
        <v>191</v>
      </c>
      <c r="AL11" s="0" t="s">
        <v>64</v>
      </c>
    </row>
    <row r="12" customFormat="false" ht="23.25" hidden="false" customHeight="true" outlineLevel="0" collapsed="false">
      <c r="A12" s="3" t="s">
        <v>192</v>
      </c>
      <c r="B12" s="4" t="s">
        <v>193</v>
      </c>
      <c r="C12" s="4" t="s">
        <v>194</v>
      </c>
      <c r="D12" s="3" t="s">
        <v>106</v>
      </c>
      <c r="E12" s="3" t="s">
        <v>195</v>
      </c>
      <c r="F12" s="3" t="s">
        <v>196</v>
      </c>
      <c r="G12" s="4" t="s">
        <v>197</v>
      </c>
      <c r="H12" s="4" t="s">
        <v>198</v>
      </c>
      <c r="I12" s="4" t="s">
        <v>110</v>
      </c>
      <c r="J12" s="3" t="s">
        <v>152</v>
      </c>
      <c r="K12" s="3" t="s">
        <v>199</v>
      </c>
      <c r="L12" s="5" t="n">
        <v>60000</v>
      </c>
      <c r="M12" s="4" t="n">
        <v>0</v>
      </c>
      <c r="N12" s="4" t="n">
        <v>0</v>
      </c>
      <c r="O12" s="5" t="n">
        <v>60000</v>
      </c>
      <c r="P12" s="5" t="n">
        <v>38100</v>
      </c>
      <c r="Q12" s="5" t="n">
        <f aca="false">SUM(M12:P12)</f>
        <v>98100</v>
      </c>
      <c r="R12" s="3" t="s">
        <v>60</v>
      </c>
      <c r="S12" s="4"/>
      <c r="T12" s="4"/>
      <c r="U12" s="4"/>
      <c r="V12" s="3"/>
      <c r="W12" s="4"/>
      <c r="X12" s="4" t="s">
        <v>154</v>
      </c>
      <c r="Y12" s="4" t="s">
        <v>128</v>
      </c>
      <c r="Z12" s="4" t="s">
        <v>114</v>
      </c>
      <c r="AA12" s="3" t="s">
        <v>200</v>
      </c>
      <c r="AB12" s="3" t="s">
        <v>57</v>
      </c>
      <c r="AC12" s="4" t="s">
        <v>807</v>
      </c>
      <c r="AD12" s="3" t="s">
        <v>81</v>
      </c>
      <c r="AE12" s="3" t="s">
        <v>60</v>
      </c>
      <c r="AF12" s="3" t="s">
        <v>60</v>
      </c>
      <c r="AG12" s="4" t="n">
        <v>2</v>
      </c>
      <c r="AH12" s="4" t="s">
        <v>61</v>
      </c>
      <c r="AI12" s="4" t="s">
        <v>118</v>
      </c>
      <c r="AJ12" s="3" t="n">
        <v>9</v>
      </c>
      <c r="AK12" s="6" t="s">
        <v>202</v>
      </c>
      <c r="AL12" s="0" t="s">
        <v>64</v>
      </c>
    </row>
    <row r="13" customFormat="false" ht="23.25" hidden="false" customHeight="true" outlineLevel="0" collapsed="false">
      <c r="A13" s="3" t="s">
        <v>203</v>
      </c>
      <c r="B13" s="4" t="s">
        <v>204</v>
      </c>
      <c r="C13" s="4" t="s">
        <v>205</v>
      </c>
      <c r="D13" s="3" t="s">
        <v>106</v>
      </c>
      <c r="E13" s="3" t="s">
        <v>107</v>
      </c>
      <c r="F13" s="3" t="s">
        <v>196</v>
      </c>
      <c r="G13" s="4" t="s">
        <v>206</v>
      </c>
      <c r="H13" s="4" t="s">
        <v>207</v>
      </c>
      <c r="I13" s="4" t="s">
        <v>46</v>
      </c>
      <c r="J13" s="3" t="s">
        <v>208</v>
      </c>
      <c r="K13" s="3" t="s">
        <v>209</v>
      </c>
      <c r="L13" s="5" t="n">
        <v>35000</v>
      </c>
      <c r="M13" s="4" t="n">
        <v>0</v>
      </c>
      <c r="N13" s="4" t="n">
        <v>0</v>
      </c>
      <c r="O13" s="5" t="n">
        <v>35000</v>
      </c>
      <c r="P13" s="5" t="n">
        <v>23000</v>
      </c>
      <c r="Q13" s="5" t="n">
        <f aca="false">SUM(M13:P13)</f>
        <v>58000</v>
      </c>
      <c r="R13" s="3" t="s">
        <v>60</v>
      </c>
      <c r="S13" s="4"/>
      <c r="T13" s="4"/>
      <c r="U13" s="4"/>
      <c r="V13" s="3"/>
      <c r="W13" s="4"/>
      <c r="X13" s="4" t="s">
        <v>154</v>
      </c>
      <c r="Y13" s="4" t="s">
        <v>210</v>
      </c>
      <c r="Z13" s="4" t="s">
        <v>55</v>
      </c>
      <c r="AA13" s="3" t="s">
        <v>211</v>
      </c>
      <c r="AB13" s="3" t="s">
        <v>97</v>
      </c>
      <c r="AC13" s="4" t="s">
        <v>212</v>
      </c>
      <c r="AD13" s="3" t="s">
        <v>117</v>
      </c>
      <c r="AE13" s="3" t="s">
        <v>60</v>
      </c>
      <c r="AF13" s="3" t="s">
        <v>60</v>
      </c>
      <c r="AG13" s="4" t="n">
        <v>1</v>
      </c>
      <c r="AH13" s="4" t="s">
        <v>61</v>
      </c>
      <c r="AI13" s="4" t="s">
        <v>213</v>
      </c>
      <c r="AJ13" s="3" t="n">
        <v>7</v>
      </c>
      <c r="AK13" s="6" t="s">
        <v>214</v>
      </c>
      <c r="AL13" s="0" t="s">
        <v>64</v>
      </c>
    </row>
    <row r="14" customFormat="false" ht="23.25" hidden="false" customHeight="true" outlineLevel="0" collapsed="false">
      <c r="A14" s="3" t="s">
        <v>215</v>
      </c>
      <c r="B14" s="4" t="s">
        <v>216</v>
      </c>
      <c r="C14" s="4" t="s">
        <v>217</v>
      </c>
      <c r="D14" s="3" t="s">
        <v>106</v>
      </c>
      <c r="E14" s="3" t="s">
        <v>218</v>
      </c>
      <c r="F14" s="3" t="s">
        <v>196</v>
      </c>
      <c r="G14" s="4" t="s">
        <v>219</v>
      </c>
      <c r="H14" s="4" t="s">
        <v>220</v>
      </c>
      <c r="I14" s="4" t="s">
        <v>46</v>
      </c>
      <c r="J14" s="3" t="s">
        <v>221</v>
      </c>
      <c r="K14" s="3"/>
      <c r="L14" s="4"/>
      <c r="M14" s="4" t="n">
        <v>0</v>
      </c>
      <c r="N14" s="4" t="n">
        <v>0</v>
      </c>
      <c r="O14" s="4" t="n">
        <v>0</v>
      </c>
      <c r="P14" s="4" t="n">
        <v>0</v>
      </c>
      <c r="Q14" s="5" t="n">
        <f aca="false">SUM(M14:P14)</f>
        <v>0</v>
      </c>
      <c r="R14" s="3" t="s">
        <v>60</v>
      </c>
      <c r="S14" s="4"/>
      <c r="T14" s="4"/>
      <c r="U14" s="4"/>
      <c r="V14" s="3"/>
      <c r="W14" s="4"/>
      <c r="X14" s="4"/>
      <c r="Y14" s="4" t="s">
        <v>77</v>
      </c>
      <c r="Z14" s="4" t="s">
        <v>95</v>
      </c>
      <c r="AA14" s="3" t="s">
        <v>222</v>
      </c>
      <c r="AB14" s="3" t="s">
        <v>223</v>
      </c>
      <c r="AC14" s="4" t="s">
        <v>224</v>
      </c>
      <c r="AD14" s="3" t="s">
        <v>81</v>
      </c>
      <c r="AE14" s="3" t="s">
        <v>60</v>
      </c>
      <c r="AF14" s="3" t="s">
        <v>60</v>
      </c>
      <c r="AG14" s="4" t="n">
        <v>0</v>
      </c>
      <c r="AH14" s="4" t="s">
        <v>61</v>
      </c>
      <c r="AI14" s="4" t="s">
        <v>213</v>
      </c>
      <c r="AJ14" s="3" t="n">
        <v>7</v>
      </c>
      <c r="AK14" s="6" t="s">
        <v>225</v>
      </c>
      <c r="AL14" s="0" t="s">
        <v>64</v>
      </c>
    </row>
    <row r="15" customFormat="false" ht="23.25" hidden="false" customHeight="true" outlineLevel="0" collapsed="false">
      <c r="A15" s="3" t="s">
        <v>226</v>
      </c>
      <c r="B15" s="4" t="s">
        <v>227</v>
      </c>
      <c r="C15" s="4" t="s">
        <v>228</v>
      </c>
      <c r="D15" s="3" t="s">
        <v>41</v>
      </c>
      <c r="E15" s="3" t="s">
        <v>218</v>
      </c>
      <c r="F15" s="3" t="s">
        <v>196</v>
      </c>
      <c r="G15" s="4" t="s">
        <v>229</v>
      </c>
      <c r="H15" s="4" t="s">
        <v>230</v>
      </c>
      <c r="I15" s="4" t="s">
        <v>175</v>
      </c>
      <c r="J15" s="3" t="s">
        <v>221</v>
      </c>
      <c r="K15" s="3"/>
      <c r="L15" s="4"/>
      <c r="M15" s="4" t="n">
        <v>0</v>
      </c>
      <c r="N15" s="4" t="n">
        <v>0</v>
      </c>
      <c r="O15" s="4" t="n">
        <v>0</v>
      </c>
      <c r="P15" s="4" t="n">
        <v>0</v>
      </c>
      <c r="Q15" s="5" t="n">
        <f aca="false">SUM(M15:P15)</f>
        <v>0</v>
      </c>
      <c r="R15" s="3" t="s">
        <v>60</v>
      </c>
      <c r="S15" s="4"/>
      <c r="T15" s="4"/>
      <c r="U15" s="4"/>
      <c r="V15" s="3"/>
      <c r="W15" s="4"/>
      <c r="X15" s="4"/>
      <c r="Y15" s="4"/>
      <c r="Z15" s="4" t="s">
        <v>114</v>
      </c>
      <c r="AA15" s="3" t="s">
        <v>231</v>
      </c>
      <c r="AB15" s="3" t="s">
        <v>223</v>
      </c>
      <c r="AC15" s="4" t="s">
        <v>808</v>
      </c>
      <c r="AD15" s="3" t="s">
        <v>59</v>
      </c>
      <c r="AE15" s="3" t="s">
        <v>60</v>
      </c>
      <c r="AF15" s="3" t="s">
        <v>60</v>
      </c>
      <c r="AG15" s="4" t="n">
        <v>0</v>
      </c>
      <c r="AH15" s="4" t="s">
        <v>100</v>
      </c>
      <c r="AI15" s="4" t="s">
        <v>213</v>
      </c>
      <c r="AJ15" s="3" t="n">
        <v>7</v>
      </c>
      <c r="AK15" s="6" t="s">
        <v>233</v>
      </c>
      <c r="AL15" s="0" t="s">
        <v>102</v>
      </c>
    </row>
    <row r="16" customFormat="false" ht="23.25" hidden="false" customHeight="true" outlineLevel="0" collapsed="false">
      <c r="A16" s="3" t="s">
        <v>234</v>
      </c>
      <c r="B16" s="4" t="s">
        <v>235</v>
      </c>
      <c r="C16" s="4" t="s">
        <v>236</v>
      </c>
      <c r="D16" s="3" t="s">
        <v>68</v>
      </c>
      <c r="E16" s="3" t="s">
        <v>237</v>
      </c>
      <c r="F16" s="3" t="s">
        <v>196</v>
      </c>
      <c r="G16" s="4" t="s">
        <v>238</v>
      </c>
      <c r="H16" s="4" t="s">
        <v>239</v>
      </c>
      <c r="I16" s="4" t="s">
        <v>110</v>
      </c>
      <c r="J16" s="3" t="s">
        <v>221</v>
      </c>
      <c r="K16" s="3"/>
      <c r="L16" s="4"/>
      <c r="M16" s="4" t="n">
        <v>0</v>
      </c>
      <c r="N16" s="4" t="n">
        <v>0</v>
      </c>
      <c r="O16" s="4" t="n">
        <v>0</v>
      </c>
      <c r="P16" s="4" t="n">
        <v>0</v>
      </c>
      <c r="Q16" s="5" t="n">
        <f aca="false">SUM(M16:P16)</f>
        <v>0</v>
      </c>
      <c r="R16" s="3" t="s">
        <v>60</v>
      </c>
      <c r="S16" s="4"/>
      <c r="T16" s="4"/>
      <c r="U16" s="4"/>
      <c r="V16" s="3"/>
      <c r="W16" s="4"/>
      <c r="X16" s="4"/>
      <c r="Y16" s="4" t="s">
        <v>240</v>
      </c>
      <c r="Z16" s="4" t="s">
        <v>55</v>
      </c>
      <c r="AA16" s="3" t="s">
        <v>241</v>
      </c>
      <c r="AB16" s="3" t="s">
        <v>242</v>
      </c>
      <c r="AC16" s="4" t="s">
        <v>243</v>
      </c>
      <c r="AD16" s="3" t="s">
        <v>244</v>
      </c>
      <c r="AE16" s="3" t="s">
        <v>60</v>
      </c>
      <c r="AF16" s="3" t="s">
        <v>60</v>
      </c>
      <c r="AG16" s="4" t="n">
        <v>1</v>
      </c>
      <c r="AH16" s="4" t="s">
        <v>61</v>
      </c>
      <c r="AI16" s="4" t="s">
        <v>118</v>
      </c>
      <c r="AJ16" s="3" t="n">
        <v>6</v>
      </c>
      <c r="AK16" s="6" t="s">
        <v>245</v>
      </c>
      <c r="AL16" s="0" t="s">
        <v>64</v>
      </c>
    </row>
    <row r="17" customFormat="false" ht="23.25" hidden="false" customHeight="true" outlineLevel="0" collapsed="false">
      <c r="A17" s="3" t="s">
        <v>246</v>
      </c>
      <c r="B17" s="4" t="s">
        <v>247</v>
      </c>
      <c r="C17" s="4" t="s">
        <v>248</v>
      </c>
      <c r="D17" s="3" t="s">
        <v>41</v>
      </c>
      <c r="E17" s="3" t="s">
        <v>249</v>
      </c>
      <c r="F17" s="3" t="s">
        <v>250</v>
      </c>
      <c r="G17" s="4" t="s">
        <v>251</v>
      </c>
      <c r="H17" s="4" t="s">
        <v>252</v>
      </c>
      <c r="I17" s="4" t="s">
        <v>125</v>
      </c>
      <c r="J17" s="3" t="s">
        <v>152</v>
      </c>
      <c r="K17" s="3" t="s">
        <v>253</v>
      </c>
      <c r="L17" s="5" t="n">
        <v>25000</v>
      </c>
      <c r="M17" s="5" t="n">
        <v>50000</v>
      </c>
      <c r="N17" s="5" t="n">
        <v>40000</v>
      </c>
      <c r="O17" s="4" t="n">
        <v>0</v>
      </c>
      <c r="P17" s="4" t="n">
        <v>0</v>
      </c>
      <c r="Q17" s="5" t="n">
        <f aca="false">SUM(M17:P17)</f>
        <v>90000</v>
      </c>
      <c r="R17" s="3" t="s">
        <v>60</v>
      </c>
      <c r="S17" s="4"/>
      <c r="T17" s="4"/>
      <c r="U17" s="4"/>
      <c r="V17" s="3"/>
      <c r="W17" s="4"/>
      <c r="X17" s="4" t="s">
        <v>254</v>
      </c>
      <c r="Y17" s="4" t="s">
        <v>128</v>
      </c>
      <c r="Z17" s="4" t="s">
        <v>114</v>
      </c>
      <c r="AA17" s="3" t="s">
        <v>255</v>
      </c>
      <c r="AB17" s="3" t="s">
        <v>256</v>
      </c>
      <c r="AC17" s="4" t="s">
        <v>257</v>
      </c>
      <c r="AD17" s="3" t="s">
        <v>145</v>
      </c>
      <c r="AE17" s="3" t="s">
        <v>60</v>
      </c>
      <c r="AF17" s="3" t="s">
        <v>258</v>
      </c>
      <c r="AG17" s="4" t="n">
        <v>0</v>
      </c>
      <c r="AH17" s="4" t="s">
        <v>100</v>
      </c>
      <c r="AI17" s="4" t="s">
        <v>118</v>
      </c>
      <c r="AJ17" s="3" t="n">
        <v>8</v>
      </c>
      <c r="AK17" s="6" t="s">
        <v>259</v>
      </c>
      <c r="AL17" s="0" t="s">
        <v>85</v>
      </c>
    </row>
    <row r="18" customFormat="false" ht="15" hidden="false" customHeight="true" outlineLevel="0" collapsed="false">
      <c r="A18" s="3" t="s">
        <v>260</v>
      </c>
      <c r="B18" s="4" t="s">
        <v>261</v>
      </c>
      <c r="C18" s="4" t="s">
        <v>262</v>
      </c>
      <c r="D18" s="3" t="s">
        <v>106</v>
      </c>
      <c r="E18" s="3" t="s">
        <v>249</v>
      </c>
      <c r="F18" s="3" t="s">
        <v>250</v>
      </c>
      <c r="G18" s="4" t="s">
        <v>263</v>
      </c>
      <c r="H18" s="4" t="s">
        <v>264</v>
      </c>
      <c r="I18" s="4" t="s">
        <v>110</v>
      </c>
      <c r="J18" s="3" t="s">
        <v>208</v>
      </c>
      <c r="K18" s="3" t="s">
        <v>265</v>
      </c>
      <c r="L18" s="5" t="n">
        <v>10000</v>
      </c>
      <c r="M18" s="5" t="n">
        <v>15000</v>
      </c>
      <c r="N18" s="5" t="n">
        <v>10000</v>
      </c>
      <c r="O18" s="4" t="n">
        <v>0</v>
      </c>
      <c r="P18" s="4" t="n">
        <v>0</v>
      </c>
      <c r="Q18" s="5" t="n">
        <f aca="false">SUM(M18:P18)</f>
        <v>25000</v>
      </c>
      <c r="R18" s="3" t="s">
        <v>60</v>
      </c>
      <c r="S18" s="4"/>
      <c r="T18" s="4"/>
      <c r="U18" s="4"/>
      <c r="V18" s="3"/>
      <c r="W18" s="4"/>
      <c r="X18" s="4" t="s">
        <v>154</v>
      </c>
      <c r="Y18" s="4" t="s">
        <v>128</v>
      </c>
      <c r="Z18" s="4" t="s">
        <v>95</v>
      </c>
      <c r="AA18" s="3" t="s">
        <v>266</v>
      </c>
      <c r="AB18" s="3" t="s">
        <v>267</v>
      </c>
      <c r="AC18" s="4" t="s">
        <v>268</v>
      </c>
      <c r="AD18" s="3" t="s">
        <v>81</v>
      </c>
      <c r="AE18" s="3" t="s">
        <v>60</v>
      </c>
      <c r="AF18" s="3" t="s">
        <v>60</v>
      </c>
      <c r="AG18" s="4" t="n">
        <v>0</v>
      </c>
      <c r="AH18" s="4" t="s">
        <v>157</v>
      </c>
      <c r="AI18" s="4" t="s">
        <v>213</v>
      </c>
      <c r="AJ18" s="3" t="n">
        <v>4</v>
      </c>
      <c r="AK18" s="6" t="s">
        <v>269</v>
      </c>
      <c r="AL18" s="0" t="s">
        <v>102</v>
      </c>
    </row>
    <row r="19" customFormat="false" ht="23.25" hidden="false" customHeight="true" outlineLevel="0" collapsed="false">
      <c r="A19" s="3" t="s">
        <v>270</v>
      </c>
      <c r="B19" s="4" t="s">
        <v>271</v>
      </c>
      <c r="C19" s="4" t="s">
        <v>272</v>
      </c>
      <c r="D19" s="3" t="s">
        <v>106</v>
      </c>
      <c r="E19" s="3" t="s">
        <v>273</v>
      </c>
      <c r="F19" s="3" t="s">
        <v>274</v>
      </c>
      <c r="G19" s="4" t="s">
        <v>275</v>
      </c>
      <c r="H19" s="4" t="s">
        <v>276</v>
      </c>
      <c r="I19" s="4" t="s">
        <v>46</v>
      </c>
      <c r="J19" s="3" t="s">
        <v>221</v>
      </c>
      <c r="K19" s="3"/>
      <c r="L19" s="4"/>
      <c r="M19" s="4" t="n">
        <v>0</v>
      </c>
      <c r="N19" s="4" t="n">
        <v>0</v>
      </c>
      <c r="O19" s="4" t="n">
        <v>0</v>
      </c>
      <c r="P19" s="4" t="n">
        <v>0</v>
      </c>
      <c r="Q19" s="5" t="n">
        <f aca="false">SUM(M19:P19)</f>
        <v>0</v>
      </c>
      <c r="R19" s="3" t="s">
        <v>60</v>
      </c>
      <c r="S19" s="4"/>
      <c r="T19" s="4"/>
      <c r="U19" s="4"/>
      <c r="V19" s="3"/>
      <c r="W19" s="4"/>
      <c r="X19" s="4"/>
      <c r="Y19" s="4"/>
      <c r="Z19" s="4" t="s">
        <v>55</v>
      </c>
      <c r="AA19" s="3" t="s">
        <v>277</v>
      </c>
      <c r="AB19" s="3" t="s">
        <v>79</v>
      </c>
      <c r="AC19" s="4" t="s">
        <v>278</v>
      </c>
      <c r="AD19" s="3" t="s">
        <v>279</v>
      </c>
      <c r="AE19" s="3" t="s">
        <v>60</v>
      </c>
      <c r="AF19" s="3" t="s">
        <v>60</v>
      </c>
      <c r="AG19" s="4" t="n">
        <v>1</v>
      </c>
      <c r="AH19" s="4" t="s">
        <v>61</v>
      </c>
      <c r="AI19" s="4" t="s">
        <v>280</v>
      </c>
      <c r="AJ19" s="3" t="n">
        <v>7</v>
      </c>
      <c r="AK19" s="6" t="s">
        <v>281</v>
      </c>
      <c r="AL19" s="0" t="s">
        <v>85</v>
      </c>
    </row>
    <row r="20" customFormat="false" ht="15" hidden="false" customHeight="true" outlineLevel="0" collapsed="false">
      <c r="A20" s="3" t="s">
        <v>282</v>
      </c>
      <c r="B20" s="4" t="s">
        <v>283</v>
      </c>
      <c r="C20" s="4" t="s">
        <v>284</v>
      </c>
      <c r="D20" s="3" t="s">
        <v>68</v>
      </c>
      <c r="E20" s="3" t="s">
        <v>42</v>
      </c>
      <c r="F20" s="3" t="s">
        <v>43</v>
      </c>
      <c r="G20" s="4" t="s">
        <v>285</v>
      </c>
      <c r="H20" s="4" t="s">
        <v>286</v>
      </c>
      <c r="I20" s="4" t="s">
        <v>175</v>
      </c>
      <c r="J20" s="3" t="s">
        <v>71</v>
      </c>
      <c r="K20" s="4" t="s">
        <v>287</v>
      </c>
      <c r="L20" s="5" t="n">
        <v>80000</v>
      </c>
      <c r="M20" s="5" t="n">
        <v>100000</v>
      </c>
      <c r="N20" s="5" t="n">
        <v>120000</v>
      </c>
      <c r="O20" s="5" t="n">
        <v>140000</v>
      </c>
      <c r="P20" s="5" t="n">
        <v>116500</v>
      </c>
      <c r="Q20" s="5" t="n">
        <f aca="false">SUM(M20:P20)</f>
        <v>476500</v>
      </c>
      <c r="R20" s="3" t="s">
        <v>49</v>
      </c>
      <c r="S20" s="5" t="n">
        <v>800000</v>
      </c>
      <c r="T20" s="4" t="s">
        <v>73</v>
      </c>
      <c r="U20" s="4" t="s">
        <v>74</v>
      </c>
      <c r="V20" s="3" t="s">
        <v>75</v>
      </c>
      <c r="W20" s="5" t="n">
        <v>160000</v>
      </c>
      <c r="X20" s="4" t="s">
        <v>288</v>
      </c>
      <c r="Y20" s="4" t="s">
        <v>289</v>
      </c>
      <c r="Z20" s="4" t="s">
        <v>55</v>
      </c>
      <c r="AA20" s="4" t="s">
        <v>290</v>
      </c>
      <c r="AB20" s="3" t="s">
        <v>79</v>
      </c>
      <c r="AC20" s="4" t="s">
        <v>805</v>
      </c>
      <c r="AD20" s="4" t="s">
        <v>292</v>
      </c>
      <c r="AE20" s="3" t="s">
        <v>60</v>
      </c>
      <c r="AF20" s="3" t="s">
        <v>60</v>
      </c>
      <c r="AG20" s="4" t="n">
        <v>2</v>
      </c>
      <c r="AH20" s="4" t="s">
        <v>100</v>
      </c>
      <c r="AI20" s="4" t="s">
        <v>62</v>
      </c>
      <c r="AJ20" s="3" t="n">
        <v>9</v>
      </c>
      <c r="AK20" s="6" t="s">
        <v>293</v>
      </c>
      <c r="AL20" s="0" t="s">
        <v>102</v>
      </c>
    </row>
    <row r="21" customFormat="false" ht="15" hidden="false" customHeight="true" outlineLevel="0" collapsed="false">
      <c r="A21" s="3" t="s">
        <v>294</v>
      </c>
      <c r="B21" s="4" t="s">
        <v>295</v>
      </c>
      <c r="C21" s="4" t="s">
        <v>296</v>
      </c>
      <c r="D21" s="3" t="s">
        <v>106</v>
      </c>
      <c r="E21" s="3" t="s">
        <v>42</v>
      </c>
      <c r="F21" s="3" t="s">
        <v>43</v>
      </c>
      <c r="G21" s="4" t="s">
        <v>297</v>
      </c>
      <c r="H21" s="4" t="s">
        <v>298</v>
      </c>
      <c r="I21" s="4" t="s">
        <v>46</v>
      </c>
      <c r="J21" s="3" t="s">
        <v>152</v>
      </c>
      <c r="K21" s="4" t="s">
        <v>299</v>
      </c>
      <c r="L21" s="5" t="n">
        <v>30000</v>
      </c>
      <c r="M21" s="5" t="n">
        <v>30000</v>
      </c>
      <c r="N21" s="5" t="n">
        <v>45000</v>
      </c>
      <c r="O21" s="5" t="n">
        <v>55000</v>
      </c>
      <c r="P21" s="5" t="n">
        <v>49600</v>
      </c>
      <c r="Q21" s="5" t="n">
        <f aca="false">SUM(M21:P21)</f>
        <v>179600</v>
      </c>
      <c r="R21" s="3" t="s">
        <v>60</v>
      </c>
      <c r="S21" s="4"/>
      <c r="T21" s="4"/>
      <c r="U21" s="4"/>
      <c r="V21" s="3"/>
      <c r="W21" s="4"/>
      <c r="X21" s="4" t="s">
        <v>154</v>
      </c>
      <c r="Y21" s="4" t="s">
        <v>77</v>
      </c>
      <c r="Z21" s="4" t="s">
        <v>95</v>
      </c>
      <c r="AA21" s="4" t="s">
        <v>300</v>
      </c>
      <c r="AB21" s="3" t="s">
        <v>97</v>
      </c>
      <c r="AC21" s="4" t="s">
        <v>809</v>
      </c>
      <c r="AD21" s="4" t="s">
        <v>99</v>
      </c>
      <c r="AE21" s="3" t="s">
        <v>60</v>
      </c>
      <c r="AF21" s="3" t="s">
        <v>60</v>
      </c>
      <c r="AG21" s="4" t="n">
        <v>2</v>
      </c>
      <c r="AH21" s="4" t="s">
        <v>157</v>
      </c>
      <c r="AI21" s="4" t="s">
        <v>83</v>
      </c>
      <c r="AJ21" s="3" t="n">
        <v>5</v>
      </c>
      <c r="AK21" s="6" t="s">
        <v>302</v>
      </c>
      <c r="AL21" s="0" t="s">
        <v>85</v>
      </c>
    </row>
    <row r="22" customFormat="false" ht="15" hidden="false" customHeight="true" outlineLevel="0" collapsed="false">
      <c r="A22" s="3" t="s">
        <v>303</v>
      </c>
      <c r="B22" s="4" t="s">
        <v>304</v>
      </c>
      <c r="C22" s="4" t="s">
        <v>305</v>
      </c>
      <c r="D22" s="3" t="s">
        <v>41</v>
      </c>
      <c r="E22" s="3" t="s">
        <v>42</v>
      </c>
      <c r="F22" s="3" t="s">
        <v>43</v>
      </c>
      <c r="G22" s="4" t="s">
        <v>306</v>
      </c>
      <c r="H22" s="4" t="s">
        <v>307</v>
      </c>
      <c r="I22" s="4" t="s">
        <v>175</v>
      </c>
      <c r="J22" s="3" t="s">
        <v>152</v>
      </c>
      <c r="K22" s="4" t="s">
        <v>308</v>
      </c>
      <c r="L22" s="5" t="n">
        <v>25000</v>
      </c>
      <c r="M22" s="5" t="n">
        <v>35000</v>
      </c>
      <c r="N22" s="5" t="n">
        <v>40000</v>
      </c>
      <c r="O22" s="5" t="n">
        <v>50000</v>
      </c>
      <c r="P22" s="5" t="n">
        <v>53200</v>
      </c>
      <c r="Q22" s="5" t="n">
        <f aca="false">SUM(M22:P22)</f>
        <v>178200</v>
      </c>
      <c r="R22" s="3" t="s">
        <v>60</v>
      </c>
      <c r="S22" s="4"/>
      <c r="T22" s="4"/>
      <c r="U22" s="4"/>
      <c r="V22" s="3"/>
      <c r="W22" s="4"/>
      <c r="X22" s="4" t="s">
        <v>309</v>
      </c>
      <c r="Y22" s="4" t="s">
        <v>177</v>
      </c>
      <c r="Z22" s="4" t="s">
        <v>114</v>
      </c>
      <c r="AA22" s="4" t="s">
        <v>310</v>
      </c>
      <c r="AB22" s="3" t="s">
        <v>57</v>
      </c>
      <c r="AC22" s="4" t="s">
        <v>311</v>
      </c>
      <c r="AD22" s="4" t="s">
        <v>312</v>
      </c>
      <c r="AE22" s="3" t="s">
        <v>60</v>
      </c>
      <c r="AF22" s="3" t="s">
        <v>60</v>
      </c>
      <c r="AG22" s="4" t="n">
        <v>1</v>
      </c>
      <c r="AH22" s="4" t="s">
        <v>100</v>
      </c>
      <c r="AI22" s="4" t="s">
        <v>83</v>
      </c>
      <c r="AJ22" s="3" t="n">
        <v>9</v>
      </c>
      <c r="AK22" s="6" t="s">
        <v>313</v>
      </c>
      <c r="AL22" s="0" t="s">
        <v>102</v>
      </c>
    </row>
    <row r="23" customFormat="false" ht="23.25" hidden="false" customHeight="true" outlineLevel="0" collapsed="false">
      <c r="A23" s="3" t="s">
        <v>314</v>
      </c>
      <c r="B23" s="4" t="s">
        <v>315</v>
      </c>
      <c r="C23" s="4" t="s">
        <v>316</v>
      </c>
      <c r="D23" s="3" t="s">
        <v>41</v>
      </c>
      <c r="E23" s="3" t="s">
        <v>237</v>
      </c>
      <c r="F23" s="3" t="s">
        <v>43</v>
      </c>
      <c r="G23" s="4" t="s">
        <v>317</v>
      </c>
      <c r="H23" s="4" t="s">
        <v>318</v>
      </c>
      <c r="I23" s="4" t="s">
        <v>110</v>
      </c>
      <c r="J23" s="3" t="s">
        <v>71</v>
      </c>
      <c r="K23" s="4" t="s">
        <v>319</v>
      </c>
      <c r="L23" s="5" t="n">
        <v>75000</v>
      </c>
      <c r="M23" s="5" t="n">
        <v>100000</v>
      </c>
      <c r="N23" s="5" t="n">
        <v>100000</v>
      </c>
      <c r="O23" s="5" t="n">
        <v>100000</v>
      </c>
      <c r="P23" s="5" t="n">
        <v>69800</v>
      </c>
      <c r="Q23" s="5" t="n">
        <f aca="false">SUM(M23:P23)</f>
        <v>369800</v>
      </c>
      <c r="R23" s="3" t="s">
        <v>49</v>
      </c>
      <c r="S23" s="5" t="n">
        <v>500000</v>
      </c>
      <c r="T23" s="4" t="s">
        <v>320</v>
      </c>
      <c r="U23" s="4" t="s">
        <v>51</v>
      </c>
      <c r="V23" s="3" t="s">
        <v>321</v>
      </c>
      <c r="W23" s="5" t="n">
        <v>100000</v>
      </c>
      <c r="X23" s="4" t="s">
        <v>322</v>
      </c>
      <c r="Y23" s="4" t="s">
        <v>128</v>
      </c>
      <c r="Z23" s="4" t="s">
        <v>55</v>
      </c>
      <c r="AA23" s="4" t="s">
        <v>231</v>
      </c>
      <c r="AB23" s="3" t="s">
        <v>130</v>
      </c>
      <c r="AC23" s="4" t="s">
        <v>323</v>
      </c>
      <c r="AD23" s="4" t="s">
        <v>244</v>
      </c>
      <c r="AE23" s="3" t="s">
        <v>49</v>
      </c>
      <c r="AF23" s="3" t="s">
        <v>60</v>
      </c>
      <c r="AG23" s="4" t="n">
        <v>2</v>
      </c>
      <c r="AH23" s="4" t="s">
        <v>61</v>
      </c>
      <c r="AI23" s="4" t="s">
        <v>62</v>
      </c>
      <c r="AJ23" s="3" t="n">
        <v>10</v>
      </c>
      <c r="AK23" s="6" t="s">
        <v>324</v>
      </c>
      <c r="AL23" s="0" t="s">
        <v>64</v>
      </c>
    </row>
    <row r="24" customFormat="false" ht="15" hidden="false" customHeight="true" outlineLevel="0" collapsed="false">
      <c r="A24" s="3" t="s">
        <v>325</v>
      </c>
      <c r="B24" s="4" t="s">
        <v>326</v>
      </c>
      <c r="C24" s="4" t="s">
        <v>327</v>
      </c>
      <c r="D24" s="3" t="s">
        <v>106</v>
      </c>
      <c r="E24" s="3" t="s">
        <v>107</v>
      </c>
      <c r="F24" s="3" t="s">
        <v>43</v>
      </c>
      <c r="G24" s="4" t="s">
        <v>328</v>
      </c>
      <c r="H24" s="4" t="s">
        <v>329</v>
      </c>
      <c r="I24" s="4" t="s">
        <v>139</v>
      </c>
      <c r="J24" s="3" t="s">
        <v>152</v>
      </c>
      <c r="K24" s="4" t="s">
        <v>330</v>
      </c>
      <c r="L24" s="5" t="n">
        <v>40000</v>
      </c>
      <c r="M24" s="4" t="n">
        <v>0</v>
      </c>
      <c r="N24" s="4" t="n">
        <v>0</v>
      </c>
      <c r="O24" s="5" t="n">
        <v>40000</v>
      </c>
      <c r="P24" s="5" t="n">
        <v>36900</v>
      </c>
      <c r="Q24" s="5" t="n">
        <f aca="false">SUM(M24:P24)</f>
        <v>76900</v>
      </c>
      <c r="R24" s="3" t="s">
        <v>60</v>
      </c>
      <c r="S24" s="4"/>
      <c r="T24" s="4"/>
      <c r="U24" s="4"/>
      <c r="V24" s="3"/>
      <c r="W24" s="4"/>
      <c r="X24" s="4" t="s">
        <v>154</v>
      </c>
      <c r="Y24" s="4" t="s">
        <v>331</v>
      </c>
      <c r="Z24" s="4" t="s">
        <v>95</v>
      </c>
      <c r="AA24" s="4" t="s">
        <v>189</v>
      </c>
      <c r="AB24" s="3" t="s">
        <v>57</v>
      </c>
      <c r="AC24" s="4" t="s">
        <v>332</v>
      </c>
      <c r="AD24" s="4" t="s">
        <v>333</v>
      </c>
      <c r="AE24" s="3" t="s">
        <v>60</v>
      </c>
      <c r="AF24" s="3" t="s">
        <v>60</v>
      </c>
      <c r="AG24" s="4" t="n">
        <v>1</v>
      </c>
      <c r="AH24" s="4" t="s">
        <v>157</v>
      </c>
      <c r="AI24" s="4" t="s">
        <v>118</v>
      </c>
      <c r="AJ24" s="3" t="n">
        <v>6</v>
      </c>
      <c r="AK24" s="6" t="s">
        <v>334</v>
      </c>
      <c r="AL24" s="0" t="s">
        <v>64</v>
      </c>
    </row>
    <row r="25" customFormat="false" ht="23.25" hidden="false" customHeight="true" outlineLevel="0" collapsed="false">
      <c r="A25" s="3" t="s">
        <v>335</v>
      </c>
      <c r="B25" s="4" t="s">
        <v>336</v>
      </c>
      <c r="C25" s="4" t="s">
        <v>337</v>
      </c>
      <c r="D25" s="3" t="s">
        <v>106</v>
      </c>
      <c r="E25" s="3" t="s">
        <v>42</v>
      </c>
      <c r="F25" s="3" t="s">
        <v>43</v>
      </c>
      <c r="G25" s="4" t="s">
        <v>338</v>
      </c>
      <c r="H25" s="4" t="s">
        <v>339</v>
      </c>
      <c r="I25" s="4" t="s">
        <v>125</v>
      </c>
      <c r="J25" s="3" t="s">
        <v>152</v>
      </c>
      <c r="K25" s="4" t="s">
        <v>340</v>
      </c>
      <c r="L25" s="5" t="n">
        <v>20000</v>
      </c>
      <c r="M25" s="5" t="n">
        <v>25000</v>
      </c>
      <c r="N25" s="5" t="n">
        <v>30000</v>
      </c>
      <c r="O25" s="5" t="n">
        <v>35000</v>
      </c>
      <c r="P25" s="5" t="n">
        <v>36900</v>
      </c>
      <c r="Q25" s="5" t="n">
        <f aca="false">SUM(M25:P25)</f>
        <v>126900</v>
      </c>
      <c r="R25" s="3" t="s">
        <v>60</v>
      </c>
      <c r="S25" s="4"/>
      <c r="T25" s="4"/>
      <c r="U25" s="4"/>
      <c r="V25" s="3"/>
      <c r="W25" s="4"/>
      <c r="X25" s="4" t="s">
        <v>154</v>
      </c>
      <c r="Y25" s="4" t="s">
        <v>128</v>
      </c>
      <c r="Z25" s="4" t="s">
        <v>114</v>
      </c>
      <c r="AA25" s="4" t="s">
        <v>341</v>
      </c>
      <c r="AB25" s="3" t="s">
        <v>97</v>
      </c>
      <c r="AC25" s="4" t="s">
        <v>342</v>
      </c>
      <c r="AD25" s="4" t="s">
        <v>81</v>
      </c>
      <c r="AE25" s="3" t="s">
        <v>60</v>
      </c>
      <c r="AF25" s="3" t="s">
        <v>49</v>
      </c>
      <c r="AG25" s="4" t="n">
        <v>2</v>
      </c>
      <c r="AH25" s="4" t="s">
        <v>157</v>
      </c>
      <c r="AI25" s="4" t="s">
        <v>83</v>
      </c>
      <c r="AJ25" s="3" t="n">
        <v>7</v>
      </c>
      <c r="AK25" s="6" t="s">
        <v>343</v>
      </c>
      <c r="AL25" s="0" t="s">
        <v>64</v>
      </c>
    </row>
    <row r="26" customFormat="false" ht="23.25" hidden="false" customHeight="true" outlineLevel="0" collapsed="false">
      <c r="A26" s="3" t="s">
        <v>344</v>
      </c>
      <c r="B26" s="4" t="s">
        <v>345</v>
      </c>
      <c r="C26" s="4" t="s">
        <v>346</v>
      </c>
      <c r="D26" s="3" t="s">
        <v>68</v>
      </c>
      <c r="E26" s="3" t="s">
        <v>237</v>
      </c>
      <c r="F26" s="3" t="s">
        <v>43</v>
      </c>
      <c r="G26" s="4" t="s">
        <v>347</v>
      </c>
      <c r="H26" s="4" t="s">
        <v>348</v>
      </c>
      <c r="I26" s="4" t="s">
        <v>91</v>
      </c>
      <c r="J26" s="3" t="s">
        <v>71</v>
      </c>
      <c r="K26" s="4" t="s">
        <v>349</v>
      </c>
      <c r="L26" s="5" t="n">
        <v>50000</v>
      </c>
      <c r="M26" s="5" t="n">
        <v>75000</v>
      </c>
      <c r="N26" s="5" t="n">
        <v>90000</v>
      </c>
      <c r="O26" s="5" t="n">
        <v>100000</v>
      </c>
      <c r="P26" s="5" t="n">
        <v>84300</v>
      </c>
      <c r="Q26" s="5" t="n">
        <f aca="false">SUM(M26:P26)</f>
        <v>349300</v>
      </c>
      <c r="R26" s="3" t="s">
        <v>49</v>
      </c>
      <c r="S26" s="5" t="n">
        <v>600000</v>
      </c>
      <c r="T26" s="4" t="s">
        <v>350</v>
      </c>
      <c r="U26" s="4" t="s">
        <v>351</v>
      </c>
      <c r="V26" s="3" t="s">
        <v>352</v>
      </c>
      <c r="W26" s="5" t="n">
        <v>120000</v>
      </c>
      <c r="X26" s="4" t="s">
        <v>353</v>
      </c>
      <c r="Y26" s="4" t="s">
        <v>94</v>
      </c>
      <c r="Z26" s="4" t="s">
        <v>95</v>
      </c>
      <c r="AA26" s="4" t="s">
        <v>200</v>
      </c>
      <c r="AB26" s="3" t="s">
        <v>79</v>
      </c>
      <c r="AC26" s="4" t="s">
        <v>810</v>
      </c>
      <c r="AD26" s="4" t="s">
        <v>145</v>
      </c>
      <c r="AE26" s="3" t="s">
        <v>60</v>
      </c>
      <c r="AF26" s="3" t="s">
        <v>60</v>
      </c>
      <c r="AG26" s="4" t="n">
        <v>2</v>
      </c>
      <c r="AH26" s="4" t="s">
        <v>61</v>
      </c>
      <c r="AI26" s="4" t="s">
        <v>83</v>
      </c>
      <c r="AJ26" s="3" t="n">
        <v>8</v>
      </c>
      <c r="AK26" s="6" t="s">
        <v>355</v>
      </c>
      <c r="AL26" s="0" t="s">
        <v>64</v>
      </c>
    </row>
    <row r="27" customFormat="false" ht="15" hidden="false" customHeight="true" outlineLevel="0" collapsed="false">
      <c r="A27" s="3" t="s">
        <v>356</v>
      </c>
      <c r="B27" s="4" t="s">
        <v>357</v>
      </c>
      <c r="C27" s="4" t="s">
        <v>358</v>
      </c>
      <c r="D27" s="3" t="s">
        <v>41</v>
      </c>
      <c r="E27" s="3" t="s">
        <v>237</v>
      </c>
      <c r="F27" s="3" t="s">
        <v>196</v>
      </c>
      <c r="G27" s="4" t="s">
        <v>359</v>
      </c>
      <c r="H27" s="4" t="s">
        <v>360</v>
      </c>
      <c r="I27" s="4" t="s">
        <v>91</v>
      </c>
      <c r="J27" s="3" t="s">
        <v>152</v>
      </c>
      <c r="K27" s="4" t="s">
        <v>361</v>
      </c>
      <c r="L27" s="5" t="n">
        <v>20000</v>
      </c>
      <c r="M27" s="5" t="n">
        <v>25000</v>
      </c>
      <c r="N27" s="5" t="n">
        <v>30000</v>
      </c>
      <c r="O27" s="5" t="n">
        <v>40000</v>
      </c>
      <c r="P27" s="5" t="n">
        <v>38400</v>
      </c>
      <c r="Q27" s="5" t="n">
        <f aca="false">SUM(M27:P27)</f>
        <v>133400</v>
      </c>
      <c r="R27" s="3" t="s">
        <v>60</v>
      </c>
      <c r="S27" s="4"/>
      <c r="T27" s="4"/>
      <c r="U27" s="4"/>
      <c r="V27" s="3"/>
      <c r="W27" s="4"/>
      <c r="X27" s="4" t="s">
        <v>154</v>
      </c>
      <c r="Y27" s="4" t="s">
        <v>362</v>
      </c>
      <c r="Z27" s="4" t="s">
        <v>55</v>
      </c>
      <c r="AA27" s="4" t="s">
        <v>363</v>
      </c>
      <c r="AB27" s="3" t="s">
        <v>130</v>
      </c>
      <c r="AC27" s="4" t="s">
        <v>364</v>
      </c>
      <c r="AD27" s="4" t="s">
        <v>365</v>
      </c>
      <c r="AE27" s="3" t="s">
        <v>60</v>
      </c>
      <c r="AF27" s="3" t="s">
        <v>60</v>
      </c>
      <c r="AG27" s="4" t="n">
        <v>1</v>
      </c>
      <c r="AH27" s="4" t="s">
        <v>157</v>
      </c>
      <c r="AI27" s="4" t="s">
        <v>83</v>
      </c>
      <c r="AJ27" s="3" t="n">
        <v>7</v>
      </c>
      <c r="AK27" s="6" t="s">
        <v>366</v>
      </c>
      <c r="AL27" s="0" t="s">
        <v>102</v>
      </c>
    </row>
    <row r="28" customFormat="false" ht="23.25" hidden="false" customHeight="true" outlineLevel="0" collapsed="false">
      <c r="A28" s="3" t="s">
        <v>367</v>
      </c>
      <c r="B28" s="4" t="s">
        <v>368</v>
      </c>
      <c r="C28" s="4" t="s">
        <v>369</v>
      </c>
      <c r="D28" s="3" t="s">
        <v>106</v>
      </c>
      <c r="E28" s="3" t="s">
        <v>42</v>
      </c>
      <c r="F28" s="3" t="s">
        <v>43</v>
      </c>
      <c r="G28" s="4" t="s">
        <v>370</v>
      </c>
      <c r="H28" s="4" t="s">
        <v>371</v>
      </c>
      <c r="I28" s="4" t="s">
        <v>186</v>
      </c>
      <c r="J28" s="3" t="s">
        <v>208</v>
      </c>
      <c r="K28" s="4" t="s">
        <v>372</v>
      </c>
      <c r="L28" s="5" t="n">
        <v>10000</v>
      </c>
      <c r="M28" s="4" t="n">
        <v>0</v>
      </c>
      <c r="N28" s="4" t="n">
        <v>0</v>
      </c>
      <c r="O28" s="5" t="n">
        <v>10000</v>
      </c>
      <c r="P28" s="5" t="n">
        <v>12300</v>
      </c>
      <c r="Q28" s="5" t="n">
        <f aca="false">SUM(M28:P28)</f>
        <v>22300</v>
      </c>
      <c r="R28" s="3" t="s">
        <v>60</v>
      </c>
      <c r="S28" s="4"/>
      <c r="T28" s="4"/>
      <c r="U28" s="4"/>
      <c r="V28" s="3"/>
      <c r="W28" s="4"/>
      <c r="X28" s="4" t="s">
        <v>154</v>
      </c>
      <c r="Y28" s="4" t="s">
        <v>128</v>
      </c>
      <c r="Z28" s="4" t="s">
        <v>114</v>
      </c>
      <c r="AA28" s="4" t="s">
        <v>143</v>
      </c>
      <c r="AB28" s="3" t="s">
        <v>97</v>
      </c>
      <c r="AC28" s="4" t="s">
        <v>373</v>
      </c>
      <c r="AD28" s="4" t="s">
        <v>59</v>
      </c>
      <c r="AE28" s="3" t="s">
        <v>60</v>
      </c>
      <c r="AF28" s="3" t="s">
        <v>60</v>
      </c>
      <c r="AG28" s="4" t="n">
        <v>1</v>
      </c>
      <c r="AH28" s="4" t="s">
        <v>157</v>
      </c>
      <c r="AI28" s="4" t="s">
        <v>118</v>
      </c>
      <c r="AJ28" s="3" t="n">
        <v>7</v>
      </c>
      <c r="AK28" s="6" t="s">
        <v>374</v>
      </c>
      <c r="AL28" s="0" t="s">
        <v>64</v>
      </c>
    </row>
    <row r="29" customFormat="false" ht="23.25" hidden="false" customHeight="true" outlineLevel="0" collapsed="false">
      <c r="A29" s="3" t="s">
        <v>375</v>
      </c>
      <c r="B29" s="4" t="s">
        <v>376</v>
      </c>
      <c r="C29" s="4" t="s">
        <v>377</v>
      </c>
      <c r="D29" s="3" t="s">
        <v>106</v>
      </c>
      <c r="E29" s="3" t="s">
        <v>195</v>
      </c>
      <c r="F29" s="3" t="s">
        <v>196</v>
      </c>
      <c r="G29" s="4" t="s">
        <v>378</v>
      </c>
      <c r="H29" s="4" t="s">
        <v>379</v>
      </c>
      <c r="I29" s="4" t="s">
        <v>175</v>
      </c>
      <c r="J29" s="3" t="s">
        <v>221</v>
      </c>
      <c r="K29" s="4"/>
      <c r="L29" s="4"/>
      <c r="M29" s="4" t="n">
        <v>0</v>
      </c>
      <c r="N29" s="4" t="n">
        <v>0</v>
      </c>
      <c r="O29" s="4" t="n">
        <v>0</v>
      </c>
      <c r="P29" s="4" t="n">
        <v>0</v>
      </c>
      <c r="Q29" s="5" t="n">
        <f aca="false">SUM(M29:P29)</f>
        <v>0</v>
      </c>
      <c r="R29" s="3" t="s">
        <v>60</v>
      </c>
      <c r="S29" s="4"/>
      <c r="T29" s="4"/>
      <c r="U29" s="4"/>
      <c r="V29" s="3"/>
      <c r="W29" s="4"/>
      <c r="X29" s="4"/>
      <c r="Y29" s="4" t="s">
        <v>128</v>
      </c>
      <c r="Z29" s="4" t="s">
        <v>114</v>
      </c>
      <c r="AA29" s="4" t="s">
        <v>380</v>
      </c>
      <c r="AB29" s="3" t="s">
        <v>223</v>
      </c>
      <c r="AC29" s="4" t="s">
        <v>381</v>
      </c>
      <c r="AD29" s="4" t="s">
        <v>99</v>
      </c>
      <c r="AE29" s="3" t="s">
        <v>60</v>
      </c>
      <c r="AF29" s="3" t="s">
        <v>60</v>
      </c>
      <c r="AG29" s="4" t="n">
        <v>0</v>
      </c>
      <c r="AH29" s="4" t="s">
        <v>61</v>
      </c>
      <c r="AI29" s="4" t="s">
        <v>213</v>
      </c>
      <c r="AJ29" s="3" t="n">
        <v>7</v>
      </c>
      <c r="AK29" s="6" t="s">
        <v>382</v>
      </c>
      <c r="AL29" s="0" t="s">
        <v>64</v>
      </c>
    </row>
    <row r="30" customFormat="false" ht="23.25" hidden="false" customHeight="true" outlineLevel="0" collapsed="false">
      <c r="A30" s="3" t="s">
        <v>383</v>
      </c>
      <c r="B30" s="4" t="s">
        <v>384</v>
      </c>
      <c r="C30" s="4" t="s">
        <v>385</v>
      </c>
      <c r="D30" s="3" t="s">
        <v>68</v>
      </c>
      <c r="E30" s="3" t="s">
        <v>107</v>
      </c>
      <c r="F30" s="3" t="s">
        <v>196</v>
      </c>
      <c r="G30" s="4" t="s">
        <v>386</v>
      </c>
      <c r="H30" s="4" t="s">
        <v>387</v>
      </c>
      <c r="I30" s="4" t="s">
        <v>46</v>
      </c>
      <c r="J30" s="3" t="s">
        <v>221</v>
      </c>
      <c r="K30" s="4"/>
      <c r="L30" s="4"/>
      <c r="M30" s="4" t="n">
        <v>0</v>
      </c>
      <c r="N30" s="4" t="n">
        <v>0</v>
      </c>
      <c r="O30" s="4" t="n">
        <v>0</v>
      </c>
      <c r="P30" s="4" t="n">
        <v>0</v>
      </c>
      <c r="Q30" s="5" t="n">
        <f aca="false">SUM(M30:P30)</f>
        <v>0</v>
      </c>
      <c r="R30" s="3" t="s">
        <v>60</v>
      </c>
      <c r="S30" s="4"/>
      <c r="T30" s="4"/>
      <c r="U30" s="4"/>
      <c r="V30" s="3"/>
      <c r="W30" s="4"/>
      <c r="X30" s="4"/>
      <c r="Y30" s="4" t="s">
        <v>388</v>
      </c>
      <c r="Z30" s="4" t="s">
        <v>55</v>
      </c>
      <c r="AA30" s="4" t="s">
        <v>389</v>
      </c>
      <c r="AB30" s="3" t="s">
        <v>57</v>
      </c>
      <c r="AC30" s="4" t="s">
        <v>390</v>
      </c>
      <c r="AD30" s="4" t="s">
        <v>59</v>
      </c>
      <c r="AE30" s="3" t="s">
        <v>60</v>
      </c>
      <c r="AF30" s="3" t="s">
        <v>60</v>
      </c>
      <c r="AG30" s="4" t="n">
        <v>1</v>
      </c>
      <c r="AH30" s="4" t="s">
        <v>100</v>
      </c>
      <c r="AI30" s="4" t="s">
        <v>118</v>
      </c>
      <c r="AJ30" s="3" t="n">
        <v>5</v>
      </c>
      <c r="AK30" s="6" t="s">
        <v>391</v>
      </c>
      <c r="AL30" s="0" t="s">
        <v>64</v>
      </c>
    </row>
    <row r="31" customFormat="false" ht="23.25" hidden="false" customHeight="true" outlineLevel="0" collapsed="false">
      <c r="A31" s="3" t="s">
        <v>392</v>
      </c>
      <c r="B31" s="4" t="s">
        <v>393</v>
      </c>
      <c r="C31" s="4" t="s">
        <v>394</v>
      </c>
      <c r="D31" s="3" t="s">
        <v>41</v>
      </c>
      <c r="E31" s="3" t="s">
        <v>218</v>
      </c>
      <c r="F31" s="3" t="s">
        <v>196</v>
      </c>
      <c r="G31" s="4" t="s">
        <v>395</v>
      </c>
      <c r="H31" s="4" t="s">
        <v>396</v>
      </c>
      <c r="I31" s="4" t="s">
        <v>175</v>
      </c>
      <c r="J31" s="3" t="s">
        <v>221</v>
      </c>
      <c r="K31" s="4"/>
      <c r="L31" s="4"/>
      <c r="M31" s="4" t="n">
        <v>0</v>
      </c>
      <c r="N31" s="4" t="n">
        <v>0</v>
      </c>
      <c r="O31" s="4" t="n">
        <v>0</v>
      </c>
      <c r="P31" s="4" t="n">
        <v>0</v>
      </c>
      <c r="Q31" s="5" t="n">
        <f aca="false">SUM(M31:P31)</f>
        <v>0</v>
      </c>
      <c r="R31" s="3" t="s">
        <v>60</v>
      </c>
      <c r="S31" s="4"/>
      <c r="T31" s="4"/>
      <c r="U31" s="4"/>
      <c r="V31" s="3"/>
      <c r="W31" s="4"/>
      <c r="X31" s="4"/>
      <c r="Y31" s="4"/>
      <c r="Z31" s="4" t="s">
        <v>95</v>
      </c>
      <c r="AA31" s="4" t="s">
        <v>129</v>
      </c>
      <c r="AB31" s="3" t="s">
        <v>223</v>
      </c>
      <c r="AC31" s="4" t="s">
        <v>397</v>
      </c>
      <c r="AD31" s="4" t="s">
        <v>81</v>
      </c>
      <c r="AE31" s="3" t="s">
        <v>60</v>
      </c>
      <c r="AF31" s="3" t="s">
        <v>60</v>
      </c>
      <c r="AG31" s="4" t="n">
        <v>0</v>
      </c>
      <c r="AH31" s="4" t="s">
        <v>100</v>
      </c>
      <c r="AI31" s="4" t="s">
        <v>213</v>
      </c>
      <c r="AJ31" s="3" t="n">
        <v>6</v>
      </c>
      <c r="AK31" s="6" t="s">
        <v>398</v>
      </c>
      <c r="AL31" s="0" t="s">
        <v>102</v>
      </c>
    </row>
    <row r="32" customFormat="false" ht="23.25" hidden="false" customHeight="true" outlineLevel="0" collapsed="false">
      <c r="A32" s="3" t="s">
        <v>399</v>
      </c>
      <c r="B32" s="4" t="s">
        <v>400</v>
      </c>
      <c r="C32" s="4" t="s">
        <v>401</v>
      </c>
      <c r="D32" s="3" t="s">
        <v>68</v>
      </c>
      <c r="E32" s="3" t="s">
        <v>237</v>
      </c>
      <c r="F32" s="3" t="s">
        <v>196</v>
      </c>
      <c r="G32" s="4" t="s">
        <v>402</v>
      </c>
      <c r="H32" s="4" t="s">
        <v>403</v>
      </c>
      <c r="I32" s="4" t="s">
        <v>175</v>
      </c>
      <c r="J32" s="3" t="s">
        <v>221</v>
      </c>
      <c r="K32" s="4"/>
      <c r="L32" s="4"/>
      <c r="M32" s="4" t="n">
        <v>0</v>
      </c>
      <c r="N32" s="4" t="n">
        <v>0</v>
      </c>
      <c r="O32" s="4" t="n">
        <v>0</v>
      </c>
      <c r="P32" s="4" t="n">
        <v>0</v>
      </c>
      <c r="Q32" s="5" t="n">
        <f aca="false">SUM(M32:P32)</f>
        <v>0</v>
      </c>
      <c r="R32" s="3" t="s">
        <v>60</v>
      </c>
      <c r="S32" s="4"/>
      <c r="T32" s="4"/>
      <c r="U32" s="4"/>
      <c r="V32" s="3"/>
      <c r="W32" s="4"/>
      <c r="X32" s="4"/>
      <c r="Y32" s="4" t="s">
        <v>404</v>
      </c>
      <c r="Z32" s="4" t="s">
        <v>114</v>
      </c>
      <c r="AA32" s="4" t="s">
        <v>405</v>
      </c>
      <c r="AB32" s="3" t="s">
        <v>242</v>
      </c>
      <c r="AC32" s="4" t="s">
        <v>406</v>
      </c>
      <c r="AD32" s="4" t="s">
        <v>407</v>
      </c>
      <c r="AE32" s="3" t="s">
        <v>60</v>
      </c>
      <c r="AF32" s="3" t="s">
        <v>60</v>
      </c>
      <c r="AG32" s="4" t="n">
        <v>1</v>
      </c>
      <c r="AH32" s="4" t="s">
        <v>100</v>
      </c>
      <c r="AI32" s="4" t="s">
        <v>118</v>
      </c>
      <c r="AJ32" s="3" t="n">
        <v>5</v>
      </c>
      <c r="AK32" s="6" t="s">
        <v>408</v>
      </c>
      <c r="AL32" s="0" t="s">
        <v>85</v>
      </c>
    </row>
    <row r="33" customFormat="false" ht="23.25" hidden="false" customHeight="true" outlineLevel="0" collapsed="false">
      <c r="A33" s="3" t="s">
        <v>409</v>
      </c>
      <c r="B33" s="4" t="s">
        <v>410</v>
      </c>
      <c r="C33" s="4" t="s">
        <v>411</v>
      </c>
      <c r="D33" s="3" t="s">
        <v>41</v>
      </c>
      <c r="E33" s="3" t="s">
        <v>195</v>
      </c>
      <c r="F33" s="3" t="s">
        <v>196</v>
      </c>
      <c r="G33" s="4" t="s">
        <v>412</v>
      </c>
      <c r="H33" s="4" t="s">
        <v>413</v>
      </c>
      <c r="I33" s="4" t="s">
        <v>110</v>
      </c>
      <c r="J33" s="3" t="s">
        <v>221</v>
      </c>
      <c r="K33" s="4"/>
      <c r="L33" s="4"/>
      <c r="M33" s="4" t="n">
        <v>0</v>
      </c>
      <c r="N33" s="4" t="n">
        <v>0</v>
      </c>
      <c r="O33" s="4" t="n">
        <v>0</v>
      </c>
      <c r="P33" s="4" t="n">
        <v>0</v>
      </c>
      <c r="Q33" s="5" t="n">
        <f aca="false">SUM(M33:P33)</f>
        <v>0</v>
      </c>
      <c r="R33" s="3" t="s">
        <v>60</v>
      </c>
      <c r="S33" s="4"/>
      <c r="T33" s="4"/>
      <c r="U33" s="4"/>
      <c r="V33" s="3"/>
      <c r="W33" s="4"/>
      <c r="X33" s="4"/>
      <c r="Y33" s="4" t="s">
        <v>414</v>
      </c>
      <c r="Z33" s="4" t="s">
        <v>55</v>
      </c>
      <c r="AA33" s="4" t="s">
        <v>341</v>
      </c>
      <c r="AB33" s="3" t="s">
        <v>79</v>
      </c>
      <c r="AC33" s="4" t="s">
        <v>415</v>
      </c>
      <c r="AD33" s="4" t="s">
        <v>312</v>
      </c>
      <c r="AE33" s="3" t="s">
        <v>60</v>
      </c>
      <c r="AF33" s="3" t="s">
        <v>60</v>
      </c>
      <c r="AG33" s="4" t="n">
        <v>0</v>
      </c>
      <c r="AH33" s="4" t="s">
        <v>61</v>
      </c>
      <c r="AI33" s="4" t="s">
        <v>213</v>
      </c>
      <c r="AJ33" s="3" t="n">
        <v>5</v>
      </c>
      <c r="AK33" s="6" t="s">
        <v>416</v>
      </c>
      <c r="AL33" s="0" t="s">
        <v>64</v>
      </c>
    </row>
    <row r="34" customFormat="false" ht="23.25" hidden="false" customHeight="true" outlineLevel="0" collapsed="false">
      <c r="A34" s="3" t="s">
        <v>417</v>
      </c>
      <c r="B34" s="4" t="s">
        <v>418</v>
      </c>
      <c r="C34" s="4" t="s">
        <v>419</v>
      </c>
      <c r="D34" s="3" t="s">
        <v>106</v>
      </c>
      <c r="E34" s="3" t="s">
        <v>195</v>
      </c>
      <c r="F34" s="3" t="s">
        <v>196</v>
      </c>
      <c r="G34" s="4" t="s">
        <v>420</v>
      </c>
      <c r="H34" s="4" t="s">
        <v>421</v>
      </c>
      <c r="I34" s="4" t="s">
        <v>91</v>
      </c>
      <c r="J34" s="3" t="s">
        <v>208</v>
      </c>
      <c r="K34" s="4" t="s">
        <v>231</v>
      </c>
      <c r="L34" s="5" t="n">
        <v>15000</v>
      </c>
      <c r="M34" s="4" t="n">
        <v>0</v>
      </c>
      <c r="N34" s="4" t="n">
        <v>0</v>
      </c>
      <c r="O34" s="4" t="n">
        <v>0</v>
      </c>
      <c r="P34" s="5" t="n">
        <v>10000</v>
      </c>
      <c r="Q34" s="5" t="n">
        <f aca="false">SUM(M34:P34)</f>
        <v>10000</v>
      </c>
      <c r="R34" s="3" t="s">
        <v>60</v>
      </c>
      <c r="S34" s="4"/>
      <c r="T34" s="4"/>
      <c r="U34" s="4"/>
      <c r="V34" s="3"/>
      <c r="W34" s="4"/>
      <c r="X34" s="4" t="s">
        <v>154</v>
      </c>
      <c r="Y34" s="4" t="s">
        <v>77</v>
      </c>
      <c r="Z34" s="4" t="s">
        <v>95</v>
      </c>
      <c r="AA34" s="4" t="s">
        <v>231</v>
      </c>
      <c r="AB34" s="3" t="s">
        <v>178</v>
      </c>
      <c r="AC34" s="4" t="s">
        <v>422</v>
      </c>
      <c r="AD34" s="4" t="s">
        <v>81</v>
      </c>
      <c r="AE34" s="3" t="s">
        <v>60</v>
      </c>
      <c r="AF34" s="3" t="s">
        <v>60</v>
      </c>
      <c r="AG34" s="4" t="n">
        <v>1</v>
      </c>
      <c r="AH34" s="4" t="s">
        <v>157</v>
      </c>
      <c r="AI34" s="4" t="s">
        <v>118</v>
      </c>
      <c r="AJ34" s="3" t="n">
        <v>4</v>
      </c>
      <c r="AK34" s="6" t="s">
        <v>423</v>
      </c>
      <c r="AL34" s="0" t="s">
        <v>85</v>
      </c>
    </row>
    <row r="35" customFormat="false" ht="23.25" hidden="false" customHeight="true" outlineLevel="0" collapsed="false">
      <c r="A35" s="3" t="s">
        <v>424</v>
      </c>
      <c r="B35" s="4" t="s">
        <v>425</v>
      </c>
      <c r="C35" s="4" t="s">
        <v>426</v>
      </c>
      <c r="D35" s="3" t="s">
        <v>68</v>
      </c>
      <c r="E35" s="3" t="s">
        <v>249</v>
      </c>
      <c r="F35" s="3" t="s">
        <v>250</v>
      </c>
      <c r="G35" s="4" t="s">
        <v>427</v>
      </c>
      <c r="H35" s="4" t="s">
        <v>428</v>
      </c>
      <c r="I35" s="4" t="s">
        <v>110</v>
      </c>
      <c r="J35" s="3" t="s">
        <v>71</v>
      </c>
      <c r="K35" s="4" t="s">
        <v>429</v>
      </c>
      <c r="L35" s="5" t="n">
        <v>100000</v>
      </c>
      <c r="M35" s="5" t="n">
        <v>120000</v>
      </c>
      <c r="N35" s="5" t="n">
        <v>100000</v>
      </c>
      <c r="O35" s="5" t="n">
        <v>50000</v>
      </c>
      <c r="P35" s="4" t="n">
        <v>0</v>
      </c>
      <c r="Q35" s="5" t="n">
        <f aca="false">SUM(M35:P35)</f>
        <v>270000</v>
      </c>
      <c r="R35" s="3" t="s">
        <v>60</v>
      </c>
      <c r="S35" s="4"/>
      <c r="T35" s="4"/>
      <c r="U35" s="4"/>
      <c r="V35" s="3"/>
      <c r="W35" s="4"/>
      <c r="X35" s="4" t="s">
        <v>430</v>
      </c>
      <c r="Y35" s="4" t="s">
        <v>128</v>
      </c>
      <c r="Z35" s="4" t="s">
        <v>55</v>
      </c>
      <c r="AA35" s="4" t="s">
        <v>431</v>
      </c>
      <c r="AB35" s="3" t="s">
        <v>79</v>
      </c>
      <c r="AC35" s="4" t="s">
        <v>432</v>
      </c>
      <c r="AD35" s="4" t="s">
        <v>145</v>
      </c>
      <c r="AE35" s="3" t="s">
        <v>60</v>
      </c>
      <c r="AF35" s="3" t="s">
        <v>258</v>
      </c>
      <c r="AG35" s="4" t="n">
        <v>0</v>
      </c>
      <c r="AH35" s="4" t="s">
        <v>61</v>
      </c>
      <c r="AI35" s="4" t="s">
        <v>118</v>
      </c>
      <c r="AJ35" s="3" t="n">
        <v>8</v>
      </c>
      <c r="AK35" s="6" t="s">
        <v>433</v>
      </c>
      <c r="AL35" s="0" t="s">
        <v>64</v>
      </c>
    </row>
    <row r="36" customFormat="false" ht="23.25" hidden="false" customHeight="true" outlineLevel="0" collapsed="false">
      <c r="A36" s="3" t="s">
        <v>434</v>
      </c>
      <c r="B36" s="4" t="s">
        <v>435</v>
      </c>
      <c r="C36" s="4" t="s">
        <v>436</v>
      </c>
      <c r="D36" s="3" t="s">
        <v>106</v>
      </c>
      <c r="E36" s="3" t="s">
        <v>249</v>
      </c>
      <c r="F36" s="3" t="s">
        <v>250</v>
      </c>
      <c r="G36" s="4" t="s">
        <v>437</v>
      </c>
      <c r="H36" s="4" t="s">
        <v>438</v>
      </c>
      <c r="I36" s="4" t="s">
        <v>139</v>
      </c>
      <c r="J36" s="3" t="s">
        <v>208</v>
      </c>
      <c r="K36" s="4" t="s">
        <v>439</v>
      </c>
      <c r="L36" s="5" t="n">
        <v>10000</v>
      </c>
      <c r="M36" s="5" t="n">
        <v>10000</v>
      </c>
      <c r="N36" s="5" t="n">
        <v>15000</v>
      </c>
      <c r="O36" s="5" t="n">
        <v>10000</v>
      </c>
      <c r="P36" s="4" t="n">
        <v>0</v>
      </c>
      <c r="Q36" s="5" t="n">
        <f aca="false">SUM(M36:P36)</f>
        <v>35000</v>
      </c>
      <c r="R36" s="3" t="s">
        <v>60</v>
      </c>
      <c r="S36" s="4"/>
      <c r="T36" s="4"/>
      <c r="U36" s="4"/>
      <c r="V36" s="3"/>
      <c r="W36" s="4"/>
      <c r="X36" s="4" t="s">
        <v>154</v>
      </c>
      <c r="Y36" s="4" t="s">
        <v>128</v>
      </c>
      <c r="Z36" s="4" t="s">
        <v>95</v>
      </c>
      <c r="AA36" s="4" t="s">
        <v>277</v>
      </c>
      <c r="AB36" s="3" t="s">
        <v>267</v>
      </c>
      <c r="AC36" s="4" t="s">
        <v>440</v>
      </c>
      <c r="AD36" s="4" t="s">
        <v>81</v>
      </c>
      <c r="AE36" s="3" t="s">
        <v>60</v>
      </c>
      <c r="AF36" s="3" t="s">
        <v>60</v>
      </c>
      <c r="AG36" s="4" t="n">
        <v>0</v>
      </c>
      <c r="AH36" s="4" t="s">
        <v>157</v>
      </c>
      <c r="AI36" s="4" t="s">
        <v>213</v>
      </c>
      <c r="AJ36" s="3" t="n">
        <v>5</v>
      </c>
      <c r="AK36" s="6" t="s">
        <v>441</v>
      </c>
      <c r="AL36" s="0" t="s">
        <v>85</v>
      </c>
    </row>
    <row r="37" customFormat="false" ht="23.25" hidden="false" customHeight="true" outlineLevel="0" collapsed="false">
      <c r="A37" s="3" t="s">
        <v>442</v>
      </c>
      <c r="B37" s="4" t="s">
        <v>443</v>
      </c>
      <c r="C37" s="4" t="s">
        <v>444</v>
      </c>
      <c r="D37" s="3" t="s">
        <v>41</v>
      </c>
      <c r="E37" s="3" t="s">
        <v>249</v>
      </c>
      <c r="F37" s="3" t="s">
        <v>250</v>
      </c>
      <c r="G37" s="4" t="s">
        <v>445</v>
      </c>
      <c r="H37" s="4" t="s">
        <v>446</v>
      </c>
      <c r="I37" s="4" t="s">
        <v>125</v>
      </c>
      <c r="J37" s="3" t="s">
        <v>152</v>
      </c>
      <c r="K37" s="4" t="s">
        <v>447</v>
      </c>
      <c r="L37" s="5" t="n">
        <v>30000</v>
      </c>
      <c r="M37" s="5" t="n">
        <v>40000</v>
      </c>
      <c r="N37" s="5" t="n">
        <v>50000</v>
      </c>
      <c r="O37" s="4" t="n">
        <v>0</v>
      </c>
      <c r="P37" s="4" t="n">
        <v>0</v>
      </c>
      <c r="Q37" s="5" t="n">
        <f aca="false">SUM(M37:P37)</f>
        <v>90000</v>
      </c>
      <c r="R37" s="3" t="s">
        <v>60</v>
      </c>
      <c r="S37" s="4"/>
      <c r="T37" s="4"/>
      <c r="U37" s="4"/>
      <c r="V37" s="3"/>
      <c r="W37" s="4"/>
      <c r="X37" s="4" t="s">
        <v>448</v>
      </c>
      <c r="Y37" s="4" t="s">
        <v>449</v>
      </c>
      <c r="Z37" s="4" t="s">
        <v>114</v>
      </c>
      <c r="AA37" s="4" t="s">
        <v>450</v>
      </c>
      <c r="AB37" s="3" t="s">
        <v>256</v>
      </c>
      <c r="AC37" s="4" t="s">
        <v>451</v>
      </c>
      <c r="AD37" s="4" t="s">
        <v>99</v>
      </c>
      <c r="AE37" s="3" t="s">
        <v>60</v>
      </c>
      <c r="AF37" s="3" t="s">
        <v>60</v>
      </c>
      <c r="AG37" s="4" t="n">
        <v>0</v>
      </c>
      <c r="AH37" s="4" t="s">
        <v>100</v>
      </c>
      <c r="AI37" s="4" t="s">
        <v>118</v>
      </c>
      <c r="AJ37" s="3" t="n">
        <v>7</v>
      </c>
      <c r="AK37" s="6" t="s">
        <v>452</v>
      </c>
      <c r="AL37" s="0" t="s">
        <v>64</v>
      </c>
    </row>
    <row r="38" customFormat="false" ht="15" hidden="false" customHeight="true" outlineLevel="0" collapsed="false">
      <c r="A38" s="3" t="s">
        <v>453</v>
      </c>
      <c r="B38" s="4" t="s">
        <v>454</v>
      </c>
      <c r="C38" s="4" t="s">
        <v>455</v>
      </c>
      <c r="D38" s="3" t="s">
        <v>106</v>
      </c>
      <c r="E38" s="3" t="s">
        <v>273</v>
      </c>
      <c r="F38" s="3" t="s">
        <v>274</v>
      </c>
      <c r="G38" s="4" t="s">
        <v>456</v>
      </c>
      <c r="H38" s="4" t="s">
        <v>457</v>
      </c>
      <c r="I38" s="4" t="s">
        <v>110</v>
      </c>
      <c r="J38" s="3" t="s">
        <v>221</v>
      </c>
      <c r="K38" s="4"/>
      <c r="L38" s="4"/>
      <c r="M38" s="4" t="n">
        <v>0</v>
      </c>
      <c r="N38" s="4" t="n">
        <v>0</v>
      </c>
      <c r="O38" s="4" t="n">
        <v>0</v>
      </c>
      <c r="P38" s="4" t="n">
        <v>0</v>
      </c>
      <c r="Q38" s="5" t="n">
        <f aca="false">SUM(M38:P38)</f>
        <v>0</v>
      </c>
      <c r="R38" s="3" t="s">
        <v>60</v>
      </c>
      <c r="S38" s="4"/>
      <c r="T38" s="4"/>
      <c r="U38" s="4"/>
      <c r="V38" s="3"/>
      <c r="W38" s="4"/>
      <c r="X38" s="4"/>
      <c r="Y38" s="4"/>
      <c r="Z38" s="4" t="s">
        <v>114</v>
      </c>
      <c r="AA38" s="4" t="s">
        <v>458</v>
      </c>
      <c r="AB38" s="3" t="s">
        <v>57</v>
      </c>
      <c r="AC38" s="4" t="s">
        <v>459</v>
      </c>
      <c r="AD38" s="4" t="s">
        <v>460</v>
      </c>
      <c r="AE38" s="3" t="s">
        <v>60</v>
      </c>
      <c r="AF38" s="3" t="s">
        <v>60</v>
      </c>
      <c r="AG38" s="4" t="n">
        <v>0</v>
      </c>
      <c r="AH38" s="4" t="s">
        <v>61</v>
      </c>
      <c r="AI38" s="4" t="s">
        <v>280</v>
      </c>
      <c r="AJ38" s="3" t="n">
        <v>7</v>
      </c>
      <c r="AK38" s="6" t="s">
        <v>461</v>
      </c>
      <c r="AL38" s="0" t="s">
        <v>102</v>
      </c>
    </row>
    <row r="39" customFormat="false" ht="23.25" hidden="false" customHeight="true" outlineLevel="0" collapsed="false">
      <c r="A39" s="3" t="s">
        <v>462</v>
      </c>
      <c r="B39" s="4" t="s">
        <v>463</v>
      </c>
      <c r="C39" s="4" t="s">
        <v>464</v>
      </c>
      <c r="D39" s="3" t="s">
        <v>106</v>
      </c>
      <c r="E39" s="3" t="s">
        <v>273</v>
      </c>
      <c r="F39" s="3" t="s">
        <v>274</v>
      </c>
      <c r="G39" s="4" t="s">
        <v>465</v>
      </c>
      <c r="H39" s="4" t="s">
        <v>466</v>
      </c>
      <c r="I39" s="4" t="s">
        <v>110</v>
      </c>
      <c r="J39" s="3" t="s">
        <v>221</v>
      </c>
      <c r="K39" s="4"/>
      <c r="L39" s="4"/>
      <c r="M39" s="4" t="n">
        <v>0</v>
      </c>
      <c r="N39" s="4" t="n">
        <v>0</v>
      </c>
      <c r="O39" s="4" t="n">
        <v>0</v>
      </c>
      <c r="P39" s="4" t="n">
        <v>0</v>
      </c>
      <c r="Q39" s="5" t="n">
        <f aca="false">SUM(M39:P39)</f>
        <v>0</v>
      </c>
      <c r="R39" s="3" t="s">
        <v>60</v>
      </c>
      <c r="S39" s="4"/>
      <c r="T39" s="4"/>
      <c r="U39" s="4"/>
      <c r="V39" s="3"/>
      <c r="W39" s="4"/>
      <c r="X39" s="4"/>
      <c r="Y39" s="4"/>
      <c r="Z39" s="4" t="s">
        <v>55</v>
      </c>
      <c r="AA39" s="4" t="s">
        <v>467</v>
      </c>
      <c r="AB39" s="3" t="s">
        <v>97</v>
      </c>
      <c r="AC39" s="4" t="s">
        <v>810</v>
      </c>
      <c r="AD39" s="4" t="s">
        <v>469</v>
      </c>
      <c r="AE39" s="3" t="s">
        <v>60</v>
      </c>
      <c r="AF39" s="3" t="s">
        <v>60</v>
      </c>
      <c r="AG39" s="4" t="n">
        <v>1</v>
      </c>
      <c r="AH39" s="4" t="s">
        <v>100</v>
      </c>
      <c r="AI39" s="4" t="s">
        <v>280</v>
      </c>
      <c r="AJ39" s="3" t="n">
        <v>3</v>
      </c>
      <c r="AK39" s="6" t="s">
        <v>470</v>
      </c>
      <c r="AL39" s="0" t="s">
        <v>64</v>
      </c>
    </row>
    <row r="40" customFormat="false" ht="23.25" hidden="false" customHeight="true" outlineLevel="0" collapsed="false">
      <c r="A40" s="3" t="s">
        <v>471</v>
      </c>
      <c r="B40" s="4" t="s">
        <v>472</v>
      </c>
      <c r="C40" s="4" t="s">
        <v>473</v>
      </c>
      <c r="D40" s="3" t="s">
        <v>41</v>
      </c>
      <c r="E40" s="3" t="s">
        <v>42</v>
      </c>
      <c r="F40" s="3" t="s">
        <v>43</v>
      </c>
      <c r="G40" s="4" t="s">
        <v>474</v>
      </c>
      <c r="H40" s="4" t="s">
        <v>475</v>
      </c>
      <c r="I40" s="4" t="s">
        <v>110</v>
      </c>
      <c r="J40" s="3" t="s">
        <v>71</v>
      </c>
      <c r="K40" s="4" t="s">
        <v>476</v>
      </c>
      <c r="L40" s="5" t="n">
        <v>60000</v>
      </c>
      <c r="M40" s="5" t="n">
        <v>80000</v>
      </c>
      <c r="N40" s="5" t="n">
        <v>90000</v>
      </c>
      <c r="O40" s="5" t="n">
        <v>100000</v>
      </c>
      <c r="P40" s="5" t="n">
        <v>88900</v>
      </c>
      <c r="Q40" s="5" t="n">
        <f aca="false">SUM(M40:P40)</f>
        <v>358900</v>
      </c>
      <c r="R40" s="3" t="s">
        <v>49</v>
      </c>
      <c r="S40" s="5" t="n">
        <v>550000</v>
      </c>
      <c r="T40" s="4" t="s">
        <v>350</v>
      </c>
      <c r="U40" s="4" t="s">
        <v>351</v>
      </c>
      <c r="V40" s="3" t="s">
        <v>352</v>
      </c>
      <c r="W40" s="5" t="n">
        <v>110000</v>
      </c>
      <c r="X40" s="4" t="s">
        <v>477</v>
      </c>
      <c r="Y40" s="4" t="s">
        <v>478</v>
      </c>
      <c r="Z40" s="4" t="s">
        <v>55</v>
      </c>
      <c r="AA40" s="4" t="s">
        <v>189</v>
      </c>
      <c r="AB40" s="3" t="s">
        <v>57</v>
      </c>
      <c r="AC40" s="4" t="s">
        <v>479</v>
      </c>
      <c r="AD40" s="4" t="s">
        <v>480</v>
      </c>
      <c r="AE40" s="3" t="s">
        <v>60</v>
      </c>
      <c r="AF40" s="3" t="s">
        <v>49</v>
      </c>
      <c r="AG40" s="4" t="n">
        <v>3</v>
      </c>
      <c r="AH40" s="4" t="s">
        <v>61</v>
      </c>
      <c r="AI40" s="4" t="s">
        <v>83</v>
      </c>
      <c r="AJ40" s="3" t="n">
        <v>8</v>
      </c>
      <c r="AK40" s="6" t="s">
        <v>481</v>
      </c>
      <c r="AL40" s="0" t="s">
        <v>102</v>
      </c>
    </row>
    <row r="41" customFormat="false" ht="23.25" hidden="false" customHeight="true" outlineLevel="0" collapsed="false">
      <c r="A41" s="3" t="s">
        <v>482</v>
      </c>
      <c r="B41" s="4" t="s">
        <v>483</v>
      </c>
      <c r="C41" s="4" t="s">
        <v>484</v>
      </c>
      <c r="D41" s="3" t="s">
        <v>68</v>
      </c>
      <c r="E41" s="3" t="s">
        <v>42</v>
      </c>
      <c r="F41" s="3" t="s">
        <v>43</v>
      </c>
      <c r="G41" s="4" t="s">
        <v>485</v>
      </c>
      <c r="H41" s="4" t="s">
        <v>486</v>
      </c>
      <c r="I41" s="4" t="s">
        <v>46</v>
      </c>
      <c r="J41" s="3" t="s">
        <v>152</v>
      </c>
      <c r="K41" s="4" t="s">
        <v>487</v>
      </c>
      <c r="L41" s="5" t="n">
        <v>25000</v>
      </c>
      <c r="M41" s="4" t="n">
        <v>0</v>
      </c>
      <c r="N41" s="4" t="n">
        <v>0</v>
      </c>
      <c r="O41" s="5" t="n">
        <v>25000</v>
      </c>
      <c r="P41" s="5" t="n">
        <v>32400</v>
      </c>
      <c r="Q41" s="5" t="n">
        <f aca="false">SUM(M41:P41)</f>
        <v>57400</v>
      </c>
      <c r="R41" s="3" t="s">
        <v>60</v>
      </c>
      <c r="S41" s="4"/>
      <c r="T41" s="4"/>
      <c r="U41" s="4"/>
      <c r="V41" s="3"/>
      <c r="W41" s="4"/>
      <c r="X41" s="4" t="s">
        <v>154</v>
      </c>
      <c r="Y41" s="4" t="s">
        <v>77</v>
      </c>
      <c r="Z41" s="4" t="s">
        <v>95</v>
      </c>
      <c r="AA41" s="4" t="s">
        <v>115</v>
      </c>
      <c r="AB41" s="3" t="s">
        <v>97</v>
      </c>
      <c r="AC41" s="4" t="s">
        <v>811</v>
      </c>
      <c r="AD41" s="4" t="s">
        <v>99</v>
      </c>
      <c r="AE41" s="3" t="s">
        <v>60</v>
      </c>
      <c r="AF41" s="3" t="s">
        <v>60</v>
      </c>
      <c r="AG41" s="4" t="n">
        <v>1</v>
      </c>
      <c r="AH41" s="4" t="s">
        <v>157</v>
      </c>
      <c r="AI41" s="4" t="s">
        <v>83</v>
      </c>
      <c r="AJ41" s="3" t="n">
        <v>7</v>
      </c>
      <c r="AK41" s="6" t="s">
        <v>489</v>
      </c>
      <c r="AL41" s="0" t="s">
        <v>85</v>
      </c>
    </row>
    <row r="42" customFormat="false" ht="15" hidden="false" customHeight="true" outlineLevel="0" collapsed="false">
      <c r="A42" s="3" t="s">
        <v>490</v>
      </c>
      <c r="B42" s="4" t="s">
        <v>491</v>
      </c>
      <c r="C42" s="4" t="s">
        <v>492</v>
      </c>
      <c r="D42" s="3" t="s">
        <v>41</v>
      </c>
      <c r="E42" s="3" t="s">
        <v>42</v>
      </c>
      <c r="F42" s="3" t="s">
        <v>43</v>
      </c>
      <c r="G42" s="4" t="s">
        <v>493</v>
      </c>
      <c r="H42" s="4" t="s">
        <v>494</v>
      </c>
      <c r="I42" s="4" t="s">
        <v>46</v>
      </c>
      <c r="J42" s="3" t="s">
        <v>152</v>
      </c>
      <c r="K42" s="4" t="s">
        <v>495</v>
      </c>
      <c r="L42" s="5" t="n">
        <v>20000</v>
      </c>
      <c r="M42" s="5" t="n">
        <v>25000</v>
      </c>
      <c r="N42" s="5" t="n">
        <v>30000</v>
      </c>
      <c r="O42" s="5" t="n">
        <v>35000</v>
      </c>
      <c r="P42" s="5" t="n">
        <v>35000</v>
      </c>
      <c r="Q42" s="5" t="n">
        <f aca="false">SUM(M42:P42)</f>
        <v>125000</v>
      </c>
      <c r="R42" s="3" t="s">
        <v>60</v>
      </c>
      <c r="S42" s="4"/>
      <c r="T42" s="4"/>
      <c r="U42" s="4"/>
      <c r="V42" s="3"/>
      <c r="W42" s="4"/>
      <c r="X42" s="4" t="s">
        <v>496</v>
      </c>
      <c r="Y42" s="4" t="s">
        <v>331</v>
      </c>
      <c r="Z42" s="4" t="s">
        <v>95</v>
      </c>
      <c r="AA42" s="4" t="s">
        <v>129</v>
      </c>
      <c r="AB42" s="3" t="s">
        <v>79</v>
      </c>
      <c r="AC42" s="4" t="s">
        <v>497</v>
      </c>
      <c r="AD42" s="4" t="s">
        <v>333</v>
      </c>
      <c r="AE42" s="3" t="s">
        <v>60</v>
      </c>
      <c r="AF42" s="3" t="s">
        <v>60</v>
      </c>
      <c r="AG42" s="4" t="n">
        <v>2</v>
      </c>
      <c r="AH42" s="4" t="s">
        <v>157</v>
      </c>
      <c r="AI42" s="4" t="s">
        <v>83</v>
      </c>
      <c r="AJ42" s="3" t="n">
        <v>8</v>
      </c>
      <c r="AK42" s="6" t="s">
        <v>498</v>
      </c>
      <c r="AL42" s="0" t="s">
        <v>85</v>
      </c>
    </row>
    <row r="43" customFormat="false" ht="15" hidden="false" customHeight="true" outlineLevel="0" collapsed="false">
      <c r="A43" s="3" t="s">
        <v>499</v>
      </c>
      <c r="B43" s="4" t="s">
        <v>500</v>
      </c>
      <c r="C43" s="4" t="s">
        <v>501</v>
      </c>
      <c r="D43" s="3" t="s">
        <v>106</v>
      </c>
      <c r="E43" s="3" t="s">
        <v>107</v>
      </c>
      <c r="F43" s="3" t="s">
        <v>43</v>
      </c>
      <c r="G43" s="4" t="s">
        <v>502</v>
      </c>
      <c r="H43" s="4" t="s">
        <v>503</v>
      </c>
      <c r="I43" s="4" t="s">
        <v>175</v>
      </c>
      <c r="J43" s="3" t="s">
        <v>152</v>
      </c>
      <c r="K43" s="4" t="s">
        <v>504</v>
      </c>
      <c r="L43" s="5" t="n">
        <v>30000</v>
      </c>
      <c r="M43" s="4" t="n">
        <v>0</v>
      </c>
      <c r="N43" s="4" t="n">
        <v>0</v>
      </c>
      <c r="O43" s="4" t="n">
        <v>0</v>
      </c>
      <c r="P43" s="5" t="n">
        <v>24100</v>
      </c>
      <c r="Q43" s="5" t="n">
        <f aca="false">SUM(M43:P43)</f>
        <v>24100</v>
      </c>
      <c r="R43" s="3" t="s">
        <v>60</v>
      </c>
      <c r="S43" s="4"/>
      <c r="T43" s="4"/>
      <c r="U43" s="4"/>
      <c r="V43" s="3"/>
      <c r="W43" s="4"/>
      <c r="X43" s="4" t="s">
        <v>154</v>
      </c>
      <c r="Y43" s="4" t="s">
        <v>113</v>
      </c>
      <c r="Z43" s="4" t="s">
        <v>114</v>
      </c>
      <c r="AA43" s="4" t="s">
        <v>96</v>
      </c>
      <c r="AB43" s="3" t="s">
        <v>57</v>
      </c>
      <c r="AC43" s="4" t="s">
        <v>505</v>
      </c>
      <c r="AD43" s="4" t="s">
        <v>59</v>
      </c>
      <c r="AE43" s="3" t="s">
        <v>60</v>
      </c>
      <c r="AF43" s="3" t="s">
        <v>60</v>
      </c>
      <c r="AG43" s="4" t="n">
        <v>1</v>
      </c>
      <c r="AH43" s="4" t="s">
        <v>100</v>
      </c>
      <c r="AI43" s="4" t="s">
        <v>118</v>
      </c>
      <c r="AJ43" s="3" t="n">
        <v>5</v>
      </c>
      <c r="AK43" s="6" t="s">
        <v>506</v>
      </c>
      <c r="AL43" s="0" t="s">
        <v>102</v>
      </c>
    </row>
    <row r="44" customFormat="false" ht="23.25" hidden="false" customHeight="true" outlineLevel="0" collapsed="false">
      <c r="A44" s="3" t="s">
        <v>507</v>
      </c>
      <c r="B44" s="4" t="s">
        <v>508</v>
      </c>
      <c r="C44" s="4" t="s">
        <v>509</v>
      </c>
      <c r="D44" s="3" t="s">
        <v>41</v>
      </c>
      <c r="E44" s="3" t="s">
        <v>42</v>
      </c>
      <c r="F44" s="3" t="s">
        <v>43</v>
      </c>
      <c r="G44" s="4" t="s">
        <v>510</v>
      </c>
      <c r="H44" s="4" t="s">
        <v>511</v>
      </c>
      <c r="I44" s="4" t="s">
        <v>110</v>
      </c>
      <c r="J44" s="3" t="s">
        <v>71</v>
      </c>
      <c r="K44" s="4" t="s">
        <v>512</v>
      </c>
      <c r="L44" s="5" t="n">
        <v>75000</v>
      </c>
      <c r="M44" s="5" t="n">
        <v>90000</v>
      </c>
      <c r="N44" s="5" t="n">
        <v>100000</v>
      </c>
      <c r="O44" s="5" t="n">
        <v>110000</v>
      </c>
      <c r="P44" s="5" t="n">
        <v>79600</v>
      </c>
      <c r="Q44" s="5" t="n">
        <f aca="false">SUM(M44:P44)</f>
        <v>379600</v>
      </c>
      <c r="R44" s="3" t="s">
        <v>49</v>
      </c>
      <c r="S44" s="5" t="n">
        <v>600000</v>
      </c>
      <c r="T44" s="4" t="s">
        <v>73</v>
      </c>
      <c r="U44" s="4" t="s">
        <v>74</v>
      </c>
      <c r="V44" s="3" t="s">
        <v>75</v>
      </c>
      <c r="W44" s="5" t="n">
        <v>120000</v>
      </c>
      <c r="X44" s="4" t="s">
        <v>513</v>
      </c>
      <c r="Y44" s="4" t="s">
        <v>514</v>
      </c>
      <c r="Z44" s="4" t="s">
        <v>55</v>
      </c>
      <c r="AA44" s="4" t="s">
        <v>167</v>
      </c>
      <c r="AB44" s="3" t="s">
        <v>79</v>
      </c>
      <c r="AC44" s="4" t="s">
        <v>809</v>
      </c>
      <c r="AD44" s="4" t="s">
        <v>117</v>
      </c>
      <c r="AE44" s="3" t="s">
        <v>60</v>
      </c>
      <c r="AF44" s="3" t="s">
        <v>60</v>
      </c>
      <c r="AG44" s="4" t="n">
        <v>2</v>
      </c>
      <c r="AH44" s="4" t="s">
        <v>61</v>
      </c>
      <c r="AI44" s="4" t="s">
        <v>62</v>
      </c>
      <c r="AJ44" s="3" t="n">
        <v>10</v>
      </c>
      <c r="AK44" s="6" t="s">
        <v>516</v>
      </c>
      <c r="AL44" s="0" t="s">
        <v>102</v>
      </c>
    </row>
    <row r="45" customFormat="false" ht="23.25" hidden="false" customHeight="true" outlineLevel="0" collapsed="false">
      <c r="A45" s="3" t="s">
        <v>517</v>
      </c>
      <c r="B45" s="4" t="s">
        <v>518</v>
      </c>
      <c r="C45" s="4" t="s">
        <v>519</v>
      </c>
      <c r="D45" s="3" t="s">
        <v>68</v>
      </c>
      <c r="E45" s="3" t="s">
        <v>42</v>
      </c>
      <c r="F45" s="3" t="s">
        <v>43</v>
      </c>
      <c r="G45" s="4" t="s">
        <v>520</v>
      </c>
      <c r="H45" s="4" t="s">
        <v>521</v>
      </c>
      <c r="I45" s="4" t="s">
        <v>175</v>
      </c>
      <c r="J45" s="3" t="s">
        <v>152</v>
      </c>
      <c r="K45" s="4" t="s">
        <v>522</v>
      </c>
      <c r="L45" s="5" t="n">
        <v>20000</v>
      </c>
      <c r="M45" s="5" t="n">
        <v>20000</v>
      </c>
      <c r="N45" s="5" t="n">
        <v>30000</v>
      </c>
      <c r="O45" s="5" t="n">
        <v>35000</v>
      </c>
      <c r="P45" s="5" t="n">
        <v>37600</v>
      </c>
      <c r="Q45" s="5" t="n">
        <f aca="false">SUM(M45:P45)</f>
        <v>122600</v>
      </c>
      <c r="R45" s="3" t="s">
        <v>60</v>
      </c>
      <c r="S45" s="4"/>
      <c r="T45" s="4"/>
      <c r="U45" s="4"/>
      <c r="V45" s="3"/>
      <c r="W45" s="4"/>
      <c r="X45" s="4" t="s">
        <v>154</v>
      </c>
      <c r="Y45" s="4" t="s">
        <v>523</v>
      </c>
      <c r="Z45" s="4" t="s">
        <v>95</v>
      </c>
      <c r="AA45" s="4" t="s">
        <v>78</v>
      </c>
      <c r="AB45" s="3" t="s">
        <v>97</v>
      </c>
      <c r="AC45" s="4" t="s">
        <v>524</v>
      </c>
      <c r="AD45" s="4" t="s">
        <v>81</v>
      </c>
      <c r="AE45" s="3" t="s">
        <v>60</v>
      </c>
      <c r="AF45" s="3" t="s">
        <v>60</v>
      </c>
      <c r="AG45" s="4" t="n">
        <v>1</v>
      </c>
      <c r="AH45" s="4" t="s">
        <v>157</v>
      </c>
      <c r="AI45" s="4" t="s">
        <v>83</v>
      </c>
      <c r="AJ45" s="3" t="n">
        <v>6</v>
      </c>
      <c r="AK45" s="6" t="s">
        <v>525</v>
      </c>
      <c r="AL45" s="0" t="s">
        <v>85</v>
      </c>
    </row>
    <row r="46" customFormat="false" ht="15" hidden="false" customHeight="true" outlineLevel="0" collapsed="false">
      <c r="A46" s="3" t="s">
        <v>526</v>
      </c>
      <c r="B46" s="4" t="s">
        <v>527</v>
      </c>
      <c r="C46" s="4" t="s">
        <v>528</v>
      </c>
      <c r="D46" s="3" t="s">
        <v>106</v>
      </c>
      <c r="E46" s="3" t="s">
        <v>237</v>
      </c>
      <c r="F46" s="3" t="s">
        <v>196</v>
      </c>
      <c r="G46" s="4" t="s">
        <v>529</v>
      </c>
      <c r="H46" s="4" t="s">
        <v>530</v>
      </c>
      <c r="I46" s="4" t="s">
        <v>46</v>
      </c>
      <c r="J46" s="3" t="s">
        <v>208</v>
      </c>
      <c r="K46" s="4" t="s">
        <v>531</v>
      </c>
      <c r="L46" s="5" t="n">
        <v>15000</v>
      </c>
      <c r="M46" s="4" t="n">
        <v>0</v>
      </c>
      <c r="N46" s="4" t="n">
        <v>0</v>
      </c>
      <c r="O46" s="4" t="n">
        <v>0</v>
      </c>
      <c r="P46" s="5" t="n">
        <v>9500</v>
      </c>
      <c r="Q46" s="5" t="n">
        <f aca="false">SUM(M46:P46)</f>
        <v>9500</v>
      </c>
      <c r="R46" s="3" t="s">
        <v>60</v>
      </c>
      <c r="S46" s="4"/>
      <c r="T46" s="4"/>
      <c r="U46" s="4"/>
      <c r="V46" s="3"/>
      <c r="W46" s="4"/>
      <c r="X46" s="4" t="s">
        <v>154</v>
      </c>
      <c r="Y46" s="4" t="s">
        <v>128</v>
      </c>
      <c r="Z46" s="4" t="s">
        <v>55</v>
      </c>
      <c r="AA46" s="4" t="s">
        <v>209</v>
      </c>
      <c r="AB46" s="3" t="s">
        <v>178</v>
      </c>
      <c r="AC46" s="4" t="s">
        <v>532</v>
      </c>
      <c r="AD46" s="4" t="s">
        <v>59</v>
      </c>
      <c r="AE46" s="3" t="s">
        <v>60</v>
      </c>
      <c r="AF46" s="3" t="s">
        <v>60</v>
      </c>
      <c r="AG46" s="4" t="n">
        <v>1</v>
      </c>
      <c r="AH46" s="4" t="s">
        <v>100</v>
      </c>
      <c r="AI46" s="4" t="s">
        <v>213</v>
      </c>
      <c r="AJ46" s="3" t="n">
        <v>7</v>
      </c>
      <c r="AK46" s="6" t="s">
        <v>533</v>
      </c>
      <c r="AL46" s="0" t="s">
        <v>85</v>
      </c>
    </row>
    <row r="47" customFormat="false" ht="15" hidden="false" customHeight="true" outlineLevel="0" collapsed="false">
      <c r="A47" s="3" t="s">
        <v>534</v>
      </c>
      <c r="B47" s="4" t="s">
        <v>535</v>
      </c>
      <c r="C47" s="4" t="s">
        <v>536</v>
      </c>
      <c r="D47" s="3" t="s">
        <v>106</v>
      </c>
      <c r="E47" s="3" t="s">
        <v>218</v>
      </c>
      <c r="F47" s="3" t="s">
        <v>196</v>
      </c>
      <c r="G47" s="4" t="s">
        <v>537</v>
      </c>
      <c r="H47" s="4" t="s">
        <v>538</v>
      </c>
      <c r="I47" s="4" t="s">
        <v>175</v>
      </c>
      <c r="J47" s="3" t="s">
        <v>221</v>
      </c>
      <c r="K47" s="4"/>
      <c r="L47" s="4"/>
      <c r="M47" s="4" t="n">
        <v>0</v>
      </c>
      <c r="N47" s="4" t="n">
        <v>0</v>
      </c>
      <c r="O47" s="4" t="n">
        <v>0</v>
      </c>
      <c r="P47" s="4" t="n">
        <v>0</v>
      </c>
      <c r="Q47" s="5" t="n">
        <f aca="false">SUM(M47:P47)</f>
        <v>0</v>
      </c>
      <c r="R47" s="3" t="s">
        <v>60</v>
      </c>
      <c r="S47" s="4"/>
      <c r="T47" s="4"/>
      <c r="U47" s="4"/>
      <c r="V47" s="3"/>
      <c r="W47" s="4"/>
      <c r="X47" s="4"/>
      <c r="Y47" s="4"/>
      <c r="Z47" s="4" t="s">
        <v>114</v>
      </c>
      <c r="AA47" s="4" t="s">
        <v>300</v>
      </c>
      <c r="AB47" s="3" t="s">
        <v>223</v>
      </c>
      <c r="AC47" s="4" t="s">
        <v>539</v>
      </c>
      <c r="AD47" s="4" t="s">
        <v>59</v>
      </c>
      <c r="AE47" s="3" t="s">
        <v>60</v>
      </c>
      <c r="AF47" s="3" t="s">
        <v>60</v>
      </c>
      <c r="AG47" s="4" t="n">
        <v>0</v>
      </c>
      <c r="AH47" s="4" t="s">
        <v>61</v>
      </c>
      <c r="AI47" s="4" t="s">
        <v>280</v>
      </c>
      <c r="AJ47" s="3" t="n">
        <v>7</v>
      </c>
      <c r="AK47" s="6" t="s">
        <v>540</v>
      </c>
      <c r="AL47" s="0" t="s">
        <v>102</v>
      </c>
    </row>
    <row r="48" customFormat="false" ht="15" hidden="false" customHeight="true" outlineLevel="0" collapsed="false">
      <c r="A48" s="3" t="s">
        <v>541</v>
      </c>
      <c r="B48" s="4" t="s">
        <v>542</v>
      </c>
      <c r="C48" s="4" t="s">
        <v>543</v>
      </c>
      <c r="D48" s="3" t="s">
        <v>106</v>
      </c>
      <c r="E48" s="3" t="s">
        <v>195</v>
      </c>
      <c r="F48" s="3" t="s">
        <v>196</v>
      </c>
      <c r="G48" s="4" t="s">
        <v>544</v>
      </c>
      <c r="H48" s="4" t="s">
        <v>545</v>
      </c>
      <c r="I48" s="4" t="s">
        <v>46</v>
      </c>
      <c r="J48" s="3" t="s">
        <v>208</v>
      </c>
      <c r="K48" s="4" t="s">
        <v>310</v>
      </c>
      <c r="L48" s="5" t="n">
        <v>10000</v>
      </c>
      <c r="M48" s="4" t="n">
        <v>0</v>
      </c>
      <c r="N48" s="4" t="n">
        <v>0</v>
      </c>
      <c r="O48" s="4" t="n">
        <v>0</v>
      </c>
      <c r="P48" s="5" t="n">
        <v>8300</v>
      </c>
      <c r="Q48" s="5" t="n">
        <f aca="false">SUM(M48:P48)</f>
        <v>8300</v>
      </c>
      <c r="R48" s="3" t="s">
        <v>60</v>
      </c>
      <c r="S48" s="4"/>
      <c r="T48" s="4"/>
      <c r="U48" s="4"/>
      <c r="V48" s="3"/>
      <c r="W48" s="4"/>
      <c r="X48" s="4" t="s">
        <v>154</v>
      </c>
      <c r="Y48" s="4" t="s">
        <v>77</v>
      </c>
      <c r="Z48" s="4" t="s">
        <v>95</v>
      </c>
      <c r="AA48" s="4" t="s">
        <v>310</v>
      </c>
      <c r="AB48" s="3" t="s">
        <v>178</v>
      </c>
      <c r="AC48" s="4" t="s">
        <v>546</v>
      </c>
      <c r="AD48" s="4" t="s">
        <v>99</v>
      </c>
      <c r="AE48" s="3" t="s">
        <v>60</v>
      </c>
      <c r="AF48" s="3" t="s">
        <v>60</v>
      </c>
      <c r="AG48" s="4" t="n">
        <v>1</v>
      </c>
      <c r="AH48" s="4" t="s">
        <v>157</v>
      </c>
      <c r="AI48" s="4" t="s">
        <v>118</v>
      </c>
      <c r="AJ48" s="3" t="n">
        <v>7</v>
      </c>
      <c r="AK48" s="6" t="s">
        <v>547</v>
      </c>
      <c r="AL48" s="0" t="s">
        <v>85</v>
      </c>
    </row>
    <row r="49" customFormat="false" ht="23.25" hidden="false" customHeight="true" outlineLevel="0" collapsed="false">
      <c r="A49" s="3" t="s">
        <v>548</v>
      </c>
      <c r="B49" s="4" t="s">
        <v>549</v>
      </c>
      <c r="C49" s="4" t="s">
        <v>550</v>
      </c>
      <c r="D49" s="3" t="s">
        <v>68</v>
      </c>
      <c r="E49" s="3" t="s">
        <v>237</v>
      </c>
      <c r="F49" s="3" t="s">
        <v>196</v>
      </c>
      <c r="G49" s="4" t="s">
        <v>551</v>
      </c>
      <c r="H49" s="4" t="s">
        <v>552</v>
      </c>
      <c r="I49" s="4" t="s">
        <v>125</v>
      </c>
      <c r="J49" s="3" t="s">
        <v>221</v>
      </c>
      <c r="K49" s="4"/>
      <c r="L49" s="4"/>
      <c r="M49" s="4" t="n">
        <v>0</v>
      </c>
      <c r="N49" s="4" t="n">
        <v>0</v>
      </c>
      <c r="O49" s="4" t="n">
        <v>0</v>
      </c>
      <c r="P49" s="4" t="n">
        <v>0</v>
      </c>
      <c r="Q49" s="5" t="n">
        <f aca="false">SUM(M49:P49)</f>
        <v>0</v>
      </c>
      <c r="R49" s="3" t="s">
        <v>60</v>
      </c>
      <c r="S49" s="4"/>
      <c r="T49" s="4"/>
      <c r="U49" s="4"/>
      <c r="V49" s="3"/>
      <c r="W49" s="4"/>
      <c r="X49" s="4"/>
      <c r="Y49" s="4" t="s">
        <v>362</v>
      </c>
      <c r="Z49" s="4" t="s">
        <v>55</v>
      </c>
      <c r="AA49" s="4" t="s">
        <v>241</v>
      </c>
      <c r="AB49" s="3" t="s">
        <v>242</v>
      </c>
      <c r="AC49" s="4" t="s">
        <v>553</v>
      </c>
      <c r="AD49" s="4" t="s">
        <v>554</v>
      </c>
      <c r="AE49" s="3" t="s">
        <v>60</v>
      </c>
      <c r="AF49" s="3" t="s">
        <v>60</v>
      </c>
      <c r="AG49" s="4" t="n">
        <v>1</v>
      </c>
      <c r="AH49" s="4" t="s">
        <v>61</v>
      </c>
      <c r="AI49" s="4" t="s">
        <v>118</v>
      </c>
      <c r="AJ49" s="3" t="n">
        <v>7</v>
      </c>
      <c r="AK49" s="6" t="s">
        <v>555</v>
      </c>
      <c r="AL49" s="0" t="s">
        <v>64</v>
      </c>
    </row>
    <row r="50" customFormat="false" ht="23.25" hidden="false" customHeight="true" outlineLevel="0" collapsed="false">
      <c r="A50" s="3" t="s">
        <v>556</v>
      </c>
      <c r="B50" s="4" t="s">
        <v>557</v>
      </c>
      <c r="C50" s="4" t="s">
        <v>558</v>
      </c>
      <c r="D50" s="3" t="s">
        <v>68</v>
      </c>
      <c r="E50" s="3" t="s">
        <v>195</v>
      </c>
      <c r="F50" s="3" t="s">
        <v>196</v>
      </c>
      <c r="G50" s="4" t="s">
        <v>559</v>
      </c>
      <c r="H50" s="4" t="s">
        <v>560</v>
      </c>
      <c r="I50" s="4" t="s">
        <v>125</v>
      </c>
      <c r="J50" s="3" t="s">
        <v>221</v>
      </c>
      <c r="K50" s="4"/>
      <c r="L50" s="4"/>
      <c r="M50" s="4" t="n">
        <v>0</v>
      </c>
      <c r="N50" s="4" t="n">
        <v>0</v>
      </c>
      <c r="O50" s="4" t="n">
        <v>0</v>
      </c>
      <c r="P50" s="4" t="n">
        <v>0</v>
      </c>
      <c r="Q50" s="5" t="n">
        <f aca="false">SUM(M50:P50)</f>
        <v>0</v>
      </c>
      <c r="R50" s="3" t="s">
        <v>60</v>
      </c>
      <c r="S50" s="4"/>
      <c r="T50" s="4"/>
      <c r="U50" s="4"/>
      <c r="V50" s="3"/>
      <c r="W50" s="4"/>
      <c r="X50" s="4"/>
      <c r="Y50" s="4" t="s">
        <v>561</v>
      </c>
      <c r="Z50" s="4" t="s">
        <v>114</v>
      </c>
      <c r="AA50" s="4" t="s">
        <v>143</v>
      </c>
      <c r="AB50" s="3" t="s">
        <v>79</v>
      </c>
      <c r="AC50" s="4" t="s">
        <v>562</v>
      </c>
      <c r="AD50" s="4" t="s">
        <v>59</v>
      </c>
      <c r="AE50" s="3" t="s">
        <v>60</v>
      </c>
      <c r="AF50" s="3" t="s">
        <v>60</v>
      </c>
      <c r="AG50" s="4" t="n">
        <v>0</v>
      </c>
      <c r="AH50" s="4" t="s">
        <v>100</v>
      </c>
      <c r="AI50" s="4" t="s">
        <v>118</v>
      </c>
      <c r="AJ50" s="3" t="n">
        <v>7</v>
      </c>
      <c r="AK50" s="6" t="s">
        <v>563</v>
      </c>
      <c r="AL50" s="0" t="s">
        <v>64</v>
      </c>
    </row>
    <row r="51" customFormat="false" ht="23.25" hidden="false" customHeight="true" outlineLevel="0" collapsed="false">
      <c r="A51" s="3" t="s">
        <v>564</v>
      </c>
      <c r="B51" s="4" t="s">
        <v>565</v>
      </c>
      <c r="C51" s="4" t="s">
        <v>566</v>
      </c>
      <c r="D51" s="3" t="s">
        <v>41</v>
      </c>
      <c r="E51" s="3" t="s">
        <v>107</v>
      </c>
      <c r="F51" s="3" t="s">
        <v>196</v>
      </c>
      <c r="G51" s="4" t="s">
        <v>567</v>
      </c>
      <c r="H51" s="4" t="s">
        <v>568</v>
      </c>
      <c r="I51" s="4" t="s">
        <v>186</v>
      </c>
      <c r="J51" s="3" t="s">
        <v>208</v>
      </c>
      <c r="K51" s="4" t="s">
        <v>431</v>
      </c>
      <c r="L51" s="5" t="n">
        <v>20000</v>
      </c>
      <c r="M51" s="4" t="n">
        <v>0</v>
      </c>
      <c r="N51" s="4" t="n">
        <v>0</v>
      </c>
      <c r="O51" s="4" t="n">
        <v>0</v>
      </c>
      <c r="P51" s="5" t="n">
        <v>13600</v>
      </c>
      <c r="Q51" s="5" t="n">
        <f aca="false">SUM(M51:P51)</f>
        <v>13600</v>
      </c>
      <c r="R51" s="3" t="s">
        <v>60</v>
      </c>
      <c r="S51" s="4"/>
      <c r="T51" s="4"/>
      <c r="U51" s="4"/>
      <c r="V51" s="3"/>
      <c r="W51" s="4"/>
      <c r="X51" s="4" t="s">
        <v>154</v>
      </c>
      <c r="Y51" s="4" t="s">
        <v>569</v>
      </c>
      <c r="Z51" s="4" t="s">
        <v>114</v>
      </c>
      <c r="AA51" s="4" t="s">
        <v>570</v>
      </c>
      <c r="AB51" s="3" t="s">
        <v>178</v>
      </c>
      <c r="AC51" s="4" t="s">
        <v>571</v>
      </c>
      <c r="AD51" s="4" t="s">
        <v>81</v>
      </c>
      <c r="AE51" s="3" t="s">
        <v>60</v>
      </c>
      <c r="AF51" s="3" t="s">
        <v>60</v>
      </c>
      <c r="AG51" s="4" t="n">
        <v>1</v>
      </c>
      <c r="AH51" s="4" t="s">
        <v>61</v>
      </c>
      <c r="AI51" s="4" t="s">
        <v>213</v>
      </c>
      <c r="AJ51" s="3" t="n">
        <v>7</v>
      </c>
      <c r="AK51" s="6" t="s">
        <v>572</v>
      </c>
      <c r="AL51" s="0" t="s">
        <v>102</v>
      </c>
    </row>
    <row r="52" customFormat="false" ht="23.25" hidden="false" customHeight="true" outlineLevel="0" collapsed="false">
      <c r="A52" s="3" t="s">
        <v>573</v>
      </c>
      <c r="B52" s="4" t="s">
        <v>574</v>
      </c>
      <c r="C52" s="4" t="s">
        <v>575</v>
      </c>
      <c r="D52" s="3" t="s">
        <v>106</v>
      </c>
      <c r="E52" s="3" t="s">
        <v>249</v>
      </c>
      <c r="F52" s="3" t="s">
        <v>250</v>
      </c>
      <c r="G52" s="4" t="s">
        <v>576</v>
      </c>
      <c r="H52" s="4" t="s">
        <v>577</v>
      </c>
      <c r="I52" s="4" t="s">
        <v>139</v>
      </c>
      <c r="J52" s="3" t="s">
        <v>152</v>
      </c>
      <c r="K52" s="4" t="s">
        <v>578</v>
      </c>
      <c r="L52" s="5" t="n">
        <v>25000</v>
      </c>
      <c r="M52" s="5" t="n">
        <v>35000</v>
      </c>
      <c r="N52" s="5" t="n">
        <v>40000</v>
      </c>
      <c r="O52" s="5" t="n">
        <v>25000</v>
      </c>
      <c r="P52" s="4" t="n">
        <v>0</v>
      </c>
      <c r="Q52" s="5" t="n">
        <f aca="false">SUM(M52:P52)</f>
        <v>100000</v>
      </c>
      <c r="R52" s="3" t="s">
        <v>60</v>
      </c>
      <c r="S52" s="4"/>
      <c r="T52" s="4"/>
      <c r="U52" s="4"/>
      <c r="V52" s="3"/>
      <c r="W52" s="4"/>
      <c r="X52" s="4" t="s">
        <v>154</v>
      </c>
      <c r="Y52" s="4" t="s">
        <v>128</v>
      </c>
      <c r="Z52" s="4" t="s">
        <v>95</v>
      </c>
      <c r="AA52" s="4" t="s">
        <v>579</v>
      </c>
      <c r="AB52" s="3" t="s">
        <v>79</v>
      </c>
      <c r="AC52" s="4" t="s">
        <v>580</v>
      </c>
      <c r="AD52" s="4" t="s">
        <v>99</v>
      </c>
      <c r="AE52" s="3" t="s">
        <v>60</v>
      </c>
      <c r="AF52" s="3" t="s">
        <v>60</v>
      </c>
      <c r="AG52" s="4" t="n">
        <v>0</v>
      </c>
      <c r="AH52" s="4" t="s">
        <v>100</v>
      </c>
      <c r="AI52" s="4" t="s">
        <v>118</v>
      </c>
      <c r="AJ52" s="3" t="n">
        <v>5</v>
      </c>
      <c r="AK52" s="6" t="s">
        <v>581</v>
      </c>
      <c r="AL52" s="0" t="s">
        <v>64</v>
      </c>
    </row>
    <row r="53" customFormat="false" ht="23.25" hidden="false" customHeight="true" outlineLevel="0" collapsed="false">
      <c r="A53" s="3" t="s">
        <v>582</v>
      </c>
      <c r="B53" s="4" t="s">
        <v>583</v>
      </c>
      <c r="C53" s="4" t="s">
        <v>584</v>
      </c>
      <c r="D53" s="3" t="s">
        <v>106</v>
      </c>
      <c r="E53" s="3" t="s">
        <v>249</v>
      </c>
      <c r="F53" s="3" t="s">
        <v>250</v>
      </c>
      <c r="G53" s="4" t="s">
        <v>585</v>
      </c>
      <c r="H53" s="4" t="s">
        <v>586</v>
      </c>
      <c r="I53" s="4" t="s">
        <v>110</v>
      </c>
      <c r="J53" s="3" t="s">
        <v>208</v>
      </c>
      <c r="K53" s="4" t="s">
        <v>361</v>
      </c>
      <c r="L53" s="5" t="n">
        <v>10000</v>
      </c>
      <c r="M53" s="5" t="n">
        <v>10000</v>
      </c>
      <c r="N53" s="5" t="n">
        <v>15000</v>
      </c>
      <c r="O53" s="4" t="n">
        <v>0</v>
      </c>
      <c r="P53" s="4" t="n">
        <v>0</v>
      </c>
      <c r="Q53" s="5" t="n">
        <f aca="false">SUM(M53:P53)</f>
        <v>25000</v>
      </c>
      <c r="R53" s="3" t="s">
        <v>60</v>
      </c>
      <c r="S53" s="4"/>
      <c r="T53" s="4"/>
      <c r="U53" s="4"/>
      <c r="V53" s="3"/>
      <c r="W53" s="4"/>
      <c r="X53" s="4" t="s">
        <v>154</v>
      </c>
      <c r="Y53" s="4" t="s">
        <v>77</v>
      </c>
      <c r="Z53" s="4" t="s">
        <v>114</v>
      </c>
      <c r="AA53" s="4" t="s">
        <v>587</v>
      </c>
      <c r="AB53" s="3" t="s">
        <v>267</v>
      </c>
      <c r="AC53" s="4" t="s">
        <v>588</v>
      </c>
      <c r="AD53" s="4" t="s">
        <v>81</v>
      </c>
      <c r="AE53" s="3" t="s">
        <v>60</v>
      </c>
      <c r="AF53" s="3" t="s">
        <v>60</v>
      </c>
      <c r="AG53" s="4" t="n">
        <v>0</v>
      </c>
      <c r="AH53" s="4" t="s">
        <v>157</v>
      </c>
      <c r="AI53" s="4" t="s">
        <v>213</v>
      </c>
      <c r="AJ53" s="3" t="n">
        <v>3</v>
      </c>
      <c r="AK53" s="6" t="s">
        <v>589</v>
      </c>
      <c r="AL53" s="0" t="s">
        <v>102</v>
      </c>
    </row>
    <row r="54" customFormat="false" ht="23.25" hidden="false" customHeight="true" outlineLevel="0" collapsed="false">
      <c r="A54" s="3" t="s">
        <v>590</v>
      </c>
      <c r="B54" s="4" t="s">
        <v>591</v>
      </c>
      <c r="C54" s="4" t="s">
        <v>592</v>
      </c>
      <c r="D54" s="3" t="s">
        <v>41</v>
      </c>
      <c r="E54" s="3" t="s">
        <v>273</v>
      </c>
      <c r="F54" s="3" t="s">
        <v>274</v>
      </c>
      <c r="G54" s="4" t="s">
        <v>593</v>
      </c>
      <c r="H54" s="4" t="s">
        <v>594</v>
      </c>
      <c r="I54" s="4" t="s">
        <v>110</v>
      </c>
      <c r="J54" s="3" t="s">
        <v>221</v>
      </c>
      <c r="K54" s="4"/>
      <c r="L54" s="4"/>
      <c r="M54" s="4" t="n">
        <v>0</v>
      </c>
      <c r="N54" s="4" t="n">
        <v>0</v>
      </c>
      <c r="O54" s="4" t="n">
        <v>0</v>
      </c>
      <c r="P54" s="4" t="n">
        <v>0</v>
      </c>
      <c r="Q54" s="5" t="n">
        <f aca="false">SUM(M54:P54)</f>
        <v>0</v>
      </c>
      <c r="R54" s="3" t="s">
        <v>60</v>
      </c>
      <c r="S54" s="4"/>
      <c r="T54" s="4"/>
      <c r="U54" s="4"/>
      <c r="V54" s="3"/>
      <c r="W54" s="4"/>
      <c r="X54" s="4"/>
      <c r="Y54" s="4"/>
      <c r="Z54" s="4" t="s">
        <v>55</v>
      </c>
      <c r="AA54" s="4" t="s">
        <v>595</v>
      </c>
      <c r="AB54" s="3" t="s">
        <v>79</v>
      </c>
      <c r="AC54" s="4" t="s">
        <v>812</v>
      </c>
      <c r="AD54" s="4" t="s">
        <v>460</v>
      </c>
      <c r="AE54" s="3" t="s">
        <v>60</v>
      </c>
      <c r="AF54" s="3" t="s">
        <v>60</v>
      </c>
      <c r="AG54" s="4" t="n">
        <v>0</v>
      </c>
      <c r="AH54" s="4" t="s">
        <v>61</v>
      </c>
      <c r="AI54" s="4" t="s">
        <v>280</v>
      </c>
      <c r="AJ54" s="3" t="n">
        <v>7</v>
      </c>
      <c r="AK54" s="6" t="s">
        <v>597</v>
      </c>
      <c r="AL54" s="0" t="s">
        <v>102</v>
      </c>
    </row>
    <row r="55" customFormat="false" ht="23.25" hidden="false" customHeight="true" outlineLevel="0" collapsed="false">
      <c r="A55" s="3" t="s">
        <v>598</v>
      </c>
      <c r="B55" s="4" t="s">
        <v>599</v>
      </c>
      <c r="C55" s="4" t="s">
        <v>600</v>
      </c>
      <c r="D55" s="3" t="s">
        <v>106</v>
      </c>
      <c r="E55" s="3" t="s">
        <v>273</v>
      </c>
      <c r="F55" s="3" t="s">
        <v>274</v>
      </c>
      <c r="G55" s="4" t="s">
        <v>601</v>
      </c>
      <c r="H55" s="4" t="s">
        <v>602</v>
      </c>
      <c r="I55" s="4" t="s">
        <v>175</v>
      </c>
      <c r="J55" s="3" t="s">
        <v>221</v>
      </c>
      <c r="K55" s="4"/>
      <c r="L55" s="4"/>
      <c r="M55" s="4" t="n">
        <v>0</v>
      </c>
      <c r="N55" s="4" t="n">
        <v>0</v>
      </c>
      <c r="O55" s="4" t="n">
        <v>0</v>
      </c>
      <c r="P55" s="4" t="n">
        <v>0</v>
      </c>
      <c r="Q55" s="5" t="n">
        <f aca="false">SUM(M55:P55)</f>
        <v>0</v>
      </c>
      <c r="R55" s="3" t="s">
        <v>60</v>
      </c>
      <c r="S55" s="4"/>
      <c r="T55" s="4"/>
      <c r="U55" s="4"/>
      <c r="V55" s="3"/>
      <c r="W55" s="4"/>
      <c r="X55" s="4"/>
      <c r="Y55" s="4"/>
      <c r="Z55" s="4" t="s">
        <v>95</v>
      </c>
      <c r="AA55" s="4" t="s">
        <v>603</v>
      </c>
      <c r="AB55" s="3" t="s">
        <v>57</v>
      </c>
      <c r="AC55" s="4" t="s">
        <v>604</v>
      </c>
      <c r="AD55" s="4" t="s">
        <v>365</v>
      </c>
      <c r="AE55" s="3" t="s">
        <v>60</v>
      </c>
      <c r="AF55" s="3" t="s">
        <v>60</v>
      </c>
      <c r="AG55" s="4" t="n">
        <v>1</v>
      </c>
      <c r="AH55" s="4" t="s">
        <v>100</v>
      </c>
      <c r="AI55" s="4" t="s">
        <v>280</v>
      </c>
      <c r="AJ55" s="3" t="n">
        <v>5</v>
      </c>
      <c r="AK55" s="6" t="s">
        <v>605</v>
      </c>
      <c r="AL55" s="0" t="s">
        <v>64</v>
      </c>
    </row>
    <row r="56" customFormat="false" ht="23.25" hidden="false" customHeight="true" outlineLevel="0" collapsed="false">
      <c r="A56" s="3" t="s">
        <v>606</v>
      </c>
      <c r="B56" s="4" t="s">
        <v>607</v>
      </c>
      <c r="C56" s="4" t="s">
        <v>608</v>
      </c>
      <c r="D56" s="3" t="s">
        <v>68</v>
      </c>
      <c r="E56" s="3" t="s">
        <v>218</v>
      </c>
      <c r="F56" s="3" t="s">
        <v>196</v>
      </c>
      <c r="G56" s="4" t="s">
        <v>609</v>
      </c>
      <c r="H56" s="4" t="s">
        <v>610</v>
      </c>
      <c r="I56" s="4" t="s">
        <v>91</v>
      </c>
      <c r="J56" s="3" t="s">
        <v>221</v>
      </c>
      <c r="K56" s="4"/>
      <c r="L56" s="4"/>
      <c r="M56" s="4" t="n">
        <v>0</v>
      </c>
      <c r="N56" s="4" t="n">
        <v>0</v>
      </c>
      <c r="O56" s="4" t="n">
        <v>0</v>
      </c>
      <c r="P56" s="4" t="n">
        <v>0</v>
      </c>
      <c r="Q56" s="5" t="n">
        <f aca="false">SUM(M56:P56)</f>
        <v>0</v>
      </c>
      <c r="R56" s="3" t="s">
        <v>60</v>
      </c>
      <c r="S56" s="4"/>
      <c r="T56" s="4"/>
      <c r="U56" s="4"/>
      <c r="V56" s="3"/>
      <c r="W56" s="4"/>
      <c r="X56" s="4"/>
      <c r="Y56" s="4" t="s">
        <v>611</v>
      </c>
      <c r="Z56" s="4" t="s">
        <v>95</v>
      </c>
      <c r="AA56" s="4" t="s">
        <v>189</v>
      </c>
      <c r="AB56" s="3" t="s">
        <v>223</v>
      </c>
      <c r="AC56" s="4" t="s">
        <v>612</v>
      </c>
      <c r="AD56" s="4" t="s">
        <v>117</v>
      </c>
      <c r="AE56" s="3" t="s">
        <v>60</v>
      </c>
      <c r="AF56" s="3" t="s">
        <v>60</v>
      </c>
      <c r="AG56" s="4" t="n">
        <v>0</v>
      </c>
      <c r="AH56" s="4" t="s">
        <v>100</v>
      </c>
      <c r="AI56" s="4" t="s">
        <v>213</v>
      </c>
      <c r="AJ56" s="3" t="n">
        <v>5</v>
      </c>
      <c r="AK56" s="6" t="s">
        <v>613</v>
      </c>
      <c r="AL56" s="0" t="s">
        <v>85</v>
      </c>
    </row>
    <row r="57" customFormat="false" ht="23.25" hidden="false" customHeight="true" outlineLevel="0" collapsed="false">
      <c r="A57" s="3" t="s">
        <v>614</v>
      </c>
      <c r="B57" s="4" t="s">
        <v>615</v>
      </c>
      <c r="C57" s="4" t="s">
        <v>616</v>
      </c>
      <c r="D57" s="3" t="s">
        <v>106</v>
      </c>
      <c r="E57" s="3" t="s">
        <v>218</v>
      </c>
      <c r="F57" s="3" t="s">
        <v>196</v>
      </c>
      <c r="G57" s="4" t="s">
        <v>617</v>
      </c>
      <c r="H57" s="4" t="s">
        <v>618</v>
      </c>
      <c r="I57" s="4" t="s">
        <v>91</v>
      </c>
      <c r="J57" s="3" t="s">
        <v>221</v>
      </c>
      <c r="K57" s="4"/>
      <c r="L57" s="4"/>
      <c r="M57" s="4" t="n">
        <v>0</v>
      </c>
      <c r="N57" s="4" t="n">
        <v>0</v>
      </c>
      <c r="O57" s="4" t="n">
        <v>0</v>
      </c>
      <c r="P57" s="4" t="n">
        <v>0</v>
      </c>
      <c r="Q57" s="5" t="n">
        <f aca="false">SUM(M57:P57)</f>
        <v>0</v>
      </c>
      <c r="R57" s="3" t="s">
        <v>60</v>
      </c>
      <c r="S57" s="4"/>
      <c r="T57" s="4"/>
      <c r="U57" s="4"/>
      <c r="V57" s="3"/>
      <c r="W57" s="4"/>
      <c r="X57" s="4"/>
      <c r="Y57" s="4"/>
      <c r="Z57" s="4" t="s">
        <v>114</v>
      </c>
      <c r="AA57" s="4" t="s">
        <v>115</v>
      </c>
      <c r="AB57" s="3" t="s">
        <v>223</v>
      </c>
      <c r="AC57" s="4" t="s">
        <v>619</v>
      </c>
      <c r="AD57" s="4" t="s">
        <v>59</v>
      </c>
      <c r="AE57" s="3" t="s">
        <v>60</v>
      </c>
      <c r="AF57" s="3" t="s">
        <v>60</v>
      </c>
      <c r="AG57" s="4" t="n">
        <v>0</v>
      </c>
      <c r="AH57" s="4" t="s">
        <v>61</v>
      </c>
      <c r="AI57" s="4" t="s">
        <v>280</v>
      </c>
      <c r="AJ57" s="3" t="n">
        <v>5</v>
      </c>
      <c r="AK57" s="6" t="s">
        <v>620</v>
      </c>
      <c r="AL57" s="0" t="s">
        <v>64</v>
      </c>
    </row>
    <row r="58" customFormat="false" ht="23.25" hidden="false" customHeight="true" outlineLevel="0" collapsed="false">
      <c r="A58" s="3" t="s">
        <v>621</v>
      </c>
      <c r="B58" s="4" t="s">
        <v>622</v>
      </c>
      <c r="C58" s="4" t="s">
        <v>623</v>
      </c>
      <c r="D58" s="3" t="s">
        <v>41</v>
      </c>
      <c r="E58" s="3" t="s">
        <v>195</v>
      </c>
      <c r="F58" s="3" t="s">
        <v>196</v>
      </c>
      <c r="G58" s="4" t="s">
        <v>624</v>
      </c>
      <c r="H58" s="4" t="s">
        <v>625</v>
      </c>
      <c r="I58" s="4" t="s">
        <v>175</v>
      </c>
      <c r="J58" s="3" t="s">
        <v>221</v>
      </c>
      <c r="K58" s="4"/>
      <c r="L58" s="4"/>
      <c r="M58" s="4" t="n">
        <v>0</v>
      </c>
      <c r="N58" s="4" t="n">
        <v>0</v>
      </c>
      <c r="O58" s="4" t="n">
        <v>0</v>
      </c>
      <c r="P58" s="4" t="n">
        <v>0</v>
      </c>
      <c r="Q58" s="5" t="n">
        <f aca="false">SUM(M58:P58)</f>
        <v>0</v>
      </c>
      <c r="R58" s="3" t="s">
        <v>60</v>
      </c>
      <c r="S58" s="4"/>
      <c r="T58" s="4"/>
      <c r="U58" s="4"/>
      <c r="V58" s="3"/>
      <c r="W58" s="4"/>
      <c r="X58" s="4"/>
      <c r="Y58" s="4" t="s">
        <v>569</v>
      </c>
      <c r="Z58" s="4" t="s">
        <v>55</v>
      </c>
      <c r="AA58" s="4" t="s">
        <v>200</v>
      </c>
      <c r="AB58" s="3" t="s">
        <v>79</v>
      </c>
      <c r="AC58" s="4" t="s">
        <v>626</v>
      </c>
      <c r="AD58" s="4" t="s">
        <v>99</v>
      </c>
      <c r="AE58" s="3" t="s">
        <v>60</v>
      </c>
      <c r="AF58" s="3" t="s">
        <v>60</v>
      </c>
      <c r="AG58" s="4" t="n">
        <v>0</v>
      </c>
      <c r="AH58" s="4" t="s">
        <v>100</v>
      </c>
      <c r="AI58" s="4" t="s">
        <v>118</v>
      </c>
      <c r="AJ58" s="3" t="n">
        <v>7</v>
      </c>
      <c r="AK58" s="6" t="s">
        <v>627</v>
      </c>
      <c r="AL58" s="0" t="s">
        <v>102</v>
      </c>
    </row>
    <row r="59" customFormat="false" ht="15" hidden="false" customHeight="true" outlineLevel="0" collapsed="false">
      <c r="A59" s="3" t="s">
        <v>628</v>
      </c>
      <c r="B59" s="4" t="s">
        <v>629</v>
      </c>
      <c r="C59" s="4" t="s">
        <v>630</v>
      </c>
      <c r="D59" s="3" t="s">
        <v>68</v>
      </c>
      <c r="E59" s="3" t="s">
        <v>107</v>
      </c>
      <c r="F59" s="3" t="s">
        <v>196</v>
      </c>
      <c r="G59" s="4" t="s">
        <v>631</v>
      </c>
      <c r="H59" s="4" t="s">
        <v>632</v>
      </c>
      <c r="I59" s="4" t="s">
        <v>139</v>
      </c>
      <c r="J59" s="3" t="s">
        <v>208</v>
      </c>
      <c r="K59" s="4" t="s">
        <v>380</v>
      </c>
      <c r="L59" s="5" t="n">
        <v>10000</v>
      </c>
      <c r="M59" s="4" t="n">
        <v>0</v>
      </c>
      <c r="N59" s="4" t="n">
        <v>0</v>
      </c>
      <c r="O59" s="4" t="n">
        <v>0</v>
      </c>
      <c r="P59" s="5" t="n">
        <v>6000</v>
      </c>
      <c r="Q59" s="5" t="n">
        <f aca="false">SUM(M59:P59)</f>
        <v>6000</v>
      </c>
      <c r="R59" s="3" t="s">
        <v>60</v>
      </c>
      <c r="S59" s="4"/>
      <c r="T59" s="4"/>
      <c r="U59" s="4"/>
      <c r="V59" s="3"/>
      <c r="W59" s="4"/>
      <c r="X59" s="4" t="s">
        <v>154</v>
      </c>
      <c r="Y59" s="4" t="s">
        <v>331</v>
      </c>
      <c r="Z59" s="4" t="s">
        <v>95</v>
      </c>
      <c r="AA59" s="4" t="s">
        <v>380</v>
      </c>
      <c r="AB59" s="3" t="s">
        <v>178</v>
      </c>
      <c r="AC59" s="4" t="s">
        <v>633</v>
      </c>
      <c r="AD59" s="4" t="s">
        <v>81</v>
      </c>
      <c r="AE59" s="3" t="s">
        <v>60</v>
      </c>
      <c r="AF59" s="3" t="s">
        <v>60</v>
      </c>
      <c r="AG59" s="4" t="n">
        <v>1</v>
      </c>
      <c r="AH59" s="4" t="s">
        <v>100</v>
      </c>
      <c r="AI59" s="4" t="s">
        <v>118</v>
      </c>
      <c r="AJ59" s="3" t="n">
        <v>5</v>
      </c>
      <c r="AK59" s="6" t="s">
        <v>634</v>
      </c>
      <c r="AL59" s="0" t="s">
        <v>85</v>
      </c>
    </row>
    <row r="60" customFormat="false" ht="23.25" hidden="false" customHeight="true" outlineLevel="0" collapsed="false">
      <c r="A60" s="3" t="s">
        <v>635</v>
      </c>
      <c r="B60" s="4" t="s">
        <v>636</v>
      </c>
      <c r="C60" s="4" t="s">
        <v>637</v>
      </c>
      <c r="D60" s="3" t="s">
        <v>41</v>
      </c>
      <c r="E60" s="3" t="s">
        <v>237</v>
      </c>
      <c r="F60" s="3" t="s">
        <v>196</v>
      </c>
      <c r="G60" s="4" t="s">
        <v>638</v>
      </c>
      <c r="H60" s="4" t="s">
        <v>639</v>
      </c>
      <c r="I60" s="4" t="s">
        <v>110</v>
      </c>
      <c r="J60" s="3" t="s">
        <v>221</v>
      </c>
      <c r="K60" s="4"/>
      <c r="L60" s="4"/>
      <c r="M60" s="4" t="n">
        <v>0</v>
      </c>
      <c r="N60" s="4" t="n">
        <v>0</v>
      </c>
      <c r="O60" s="4" t="n">
        <v>0</v>
      </c>
      <c r="P60" s="4" t="n">
        <v>0</v>
      </c>
      <c r="Q60" s="5" t="n">
        <f aca="false">SUM(M60:P60)</f>
        <v>0</v>
      </c>
      <c r="R60" s="3" t="s">
        <v>60</v>
      </c>
      <c r="S60" s="4"/>
      <c r="T60" s="4"/>
      <c r="U60" s="4"/>
      <c r="V60" s="3"/>
      <c r="W60" s="4"/>
      <c r="X60" s="4"/>
      <c r="Y60" s="4" t="s">
        <v>514</v>
      </c>
      <c r="Z60" s="4" t="s">
        <v>55</v>
      </c>
      <c r="AA60" s="4" t="s">
        <v>389</v>
      </c>
      <c r="AB60" s="3" t="s">
        <v>242</v>
      </c>
      <c r="AC60" s="4" t="s">
        <v>640</v>
      </c>
      <c r="AD60" s="4" t="s">
        <v>333</v>
      </c>
      <c r="AE60" s="3" t="s">
        <v>60</v>
      </c>
      <c r="AF60" s="3" t="s">
        <v>60</v>
      </c>
      <c r="AG60" s="4" t="n">
        <v>2</v>
      </c>
      <c r="AH60" s="4" t="s">
        <v>61</v>
      </c>
      <c r="AI60" s="4" t="s">
        <v>83</v>
      </c>
      <c r="AJ60" s="3" t="n">
        <v>7</v>
      </c>
      <c r="AK60" s="6" t="s">
        <v>641</v>
      </c>
      <c r="AL60" s="0" t="s">
        <v>102</v>
      </c>
    </row>
    <row r="61" customFormat="false" ht="23.25" hidden="false" customHeight="true" outlineLevel="0" collapsed="false">
      <c r="A61" s="3" t="s">
        <v>642</v>
      </c>
      <c r="B61" s="4" t="s">
        <v>643</v>
      </c>
      <c r="C61" s="4" t="s">
        <v>644</v>
      </c>
      <c r="D61" s="3" t="s">
        <v>106</v>
      </c>
      <c r="E61" s="3" t="s">
        <v>218</v>
      </c>
      <c r="F61" s="3" t="s">
        <v>196</v>
      </c>
      <c r="G61" s="4" t="s">
        <v>645</v>
      </c>
      <c r="H61" s="4" t="s">
        <v>646</v>
      </c>
      <c r="I61" s="4" t="s">
        <v>175</v>
      </c>
      <c r="J61" s="3" t="s">
        <v>221</v>
      </c>
      <c r="K61" s="4"/>
      <c r="L61" s="4"/>
      <c r="M61" s="4" t="n">
        <v>0</v>
      </c>
      <c r="N61" s="4" t="n">
        <v>0</v>
      </c>
      <c r="O61" s="4" t="n">
        <v>0</v>
      </c>
      <c r="P61" s="4" t="n">
        <v>0</v>
      </c>
      <c r="Q61" s="5" t="n">
        <f aca="false">SUM(M61:P61)</f>
        <v>0</v>
      </c>
      <c r="R61" s="3" t="s">
        <v>60</v>
      </c>
      <c r="S61" s="4"/>
      <c r="T61" s="4"/>
      <c r="U61" s="4"/>
      <c r="V61" s="3"/>
      <c r="W61" s="4"/>
      <c r="X61" s="4"/>
      <c r="Y61" s="4"/>
      <c r="Z61" s="4" t="s">
        <v>114</v>
      </c>
      <c r="AA61" s="4" t="s">
        <v>363</v>
      </c>
      <c r="AB61" s="3" t="s">
        <v>223</v>
      </c>
      <c r="AC61" s="4" t="s">
        <v>647</v>
      </c>
      <c r="AD61" s="4" t="s">
        <v>117</v>
      </c>
      <c r="AE61" s="3" t="s">
        <v>60</v>
      </c>
      <c r="AF61" s="3" t="s">
        <v>60</v>
      </c>
      <c r="AG61" s="4" t="n">
        <v>0</v>
      </c>
      <c r="AH61" s="4" t="s">
        <v>61</v>
      </c>
      <c r="AI61" s="4" t="s">
        <v>213</v>
      </c>
      <c r="AJ61" s="3" t="n">
        <v>6</v>
      </c>
      <c r="AK61" s="6" t="s">
        <v>648</v>
      </c>
      <c r="AL61" s="0" t="s">
        <v>64</v>
      </c>
    </row>
    <row r="62" customFormat="false" ht="23.25" hidden="false" customHeight="true" outlineLevel="0" collapsed="false">
      <c r="A62" s="3" t="s">
        <v>649</v>
      </c>
      <c r="B62" s="4" t="s">
        <v>650</v>
      </c>
      <c r="C62" s="4" t="s">
        <v>651</v>
      </c>
      <c r="D62" s="3" t="s">
        <v>68</v>
      </c>
      <c r="E62" s="3" t="s">
        <v>107</v>
      </c>
      <c r="F62" s="3" t="s">
        <v>196</v>
      </c>
      <c r="G62" s="4" t="s">
        <v>652</v>
      </c>
      <c r="H62" s="4" t="s">
        <v>653</v>
      </c>
      <c r="I62" s="4" t="s">
        <v>46</v>
      </c>
      <c r="J62" s="3" t="s">
        <v>208</v>
      </c>
      <c r="K62" s="4" t="s">
        <v>570</v>
      </c>
      <c r="L62" s="5" t="n">
        <v>25000</v>
      </c>
      <c r="M62" s="4" t="n">
        <v>0</v>
      </c>
      <c r="N62" s="4" t="n">
        <v>0</v>
      </c>
      <c r="O62" s="4" t="n">
        <v>0</v>
      </c>
      <c r="P62" s="5" t="n">
        <v>15700</v>
      </c>
      <c r="Q62" s="5" t="n">
        <f aca="false">SUM(M62:P62)</f>
        <v>15700</v>
      </c>
      <c r="R62" s="3" t="s">
        <v>60</v>
      </c>
      <c r="S62" s="4"/>
      <c r="T62" s="4"/>
      <c r="U62" s="4"/>
      <c r="V62" s="3"/>
      <c r="W62" s="4"/>
      <c r="X62" s="4" t="s">
        <v>154</v>
      </c>
      <c r="Y62" s="4" t="s">
        <v>77</v>
      </c>
      <c r="Z62" s="4" t="s">
        <v>95</v>
      </c>
      <c r="AA62" s="4" t="s">
        <v>363</v>
      </c>
      <c r="AB62" s="3" t="s">
        <v>57</v>
      </c>
      <c r="AC62" s="4" t="s">
        <v>654</v>
      </c>
      <c r="AD62" s="4" t="s">
        <v>81</v>
      </c>
      <c r="AE62" s="3" t="s">
        <v>60</v>
      </c>
      <c r="AF62" s="3" t="s">
        <v>60</v>
      </c>
      <c r="AG62" s="4" t="n">
        <v>1</v>
      </c>
      <c r="AH62" s="4" t="s">
        <v>61</v>
      </c>
      <c r="AI62" s="4" t="s">
        <v>118</v>
      </c>
      <c r="AJ62" s="3" t="n">
        <v>7</v>
      </c>
      <c r="AK62" s="6" t="s">
        <v>655</v>
      </c>
      <c r="AL62" s="0" t="s">
        <v>85</v>
      </c>
    </row>
    <row r="63" customFormat="false" ht="23.25" hidden="false" customHeight="true" outlineLevel="0" collapsed="false">
      <c r="A63" s="3" t="s">
        <v>656</v>
      </c>
      <c r="B63" s="4" t="s">
        <v>657</v>
      </c>
      <c r="C63" s="4" t="s">
        <v>658</v>
      </c>
      <c r="D63" s="3" t="s">
        <v>68</v>
      </c>
      <c r="E63" s="3" t="s">
        <v>195</v>
      </c>
      <c r="F63" s="3" t="s">
        <v>196</v>
      </c>
      <c r="G63" s="4" t="s">
        <v>659</v>
      </c>
      <c r="H63" s="4" t="s">
        <v>660</v>
      </c>
      <c r="I63" s="4" t="s">
        <v>125</v>
      </c>
      <c r="J63" s="3" t="s">
        <v>221</v>
      </c>
      <c r="K63" s="4"/>
      <c r="L63" s="4"/>
      <c r="M63" s="4" t="n">
        <v>0</v>
      </c>
      <c r="N63" s="4" t="n">
        <v>0</v>
      </c>
      <c r="O63" s="4" t="n">
        <v>0</v>
      </c>
      <c r="P63" s="4" t="n">
        <v>0</v>
      </c>
      <c r="Q63" s="5" t="n">
        <f aca="false">SUM(M63:P63)</f>
        <v>0</v>
      </c>
      <c r="R63" s="3" t="s">
        <v>60</v>
      </c>
      <c r="S63" s="4"/>
      <c r="T63" s="4"/>
      <c r="U63" s="4"/>
      <c r="V63" s="3"/>
      <c r="W63" s="4"/>
      <c r="X63" s="4"/>
      <c r="Y63" s="4" t="s">
        <v>661</v>
      </c>
      <c r="Z63" s="4" t="s">
        <v>114</v>
      </c>
      <c r="AA63" s="4" t="s">
        <v>78</v>
      </c>
      <c r="AB63" s="3" t="s">
        <v>79</v>
      </c>
      <c r="AC63" s="4" t="s">
        <v>662</v>
      </c>
      <c r="AD63" s="4" t="s">
        <v>312</v>
      </c>
      <c r="AE63" s="3" t="s">
        <v>60</v>
      </c>
      <c r="AF63" s="3" t="s">
        <v>60</v>
      </c>
      <c r="AG63" s="4" t="n">
        <v>0</v>
      </c>
      <c r="AH63" s="4" t="s">
        <v>100</v>
      </c>
      <c r="AI63" s="4" t="s">
        <v>118</v>
      </c>
      <c r="AJ63" s="3" t="n">
        <v>7</v>
      </c>
      <c r="AK63" s="6" t="s">
        <v>663</v>
      </c>
      <c r="AL63" s="0" t="s">
        <v>102</v>
      </c>
    </row>
    <row r="64" customFormat="false" ht="23.25" hidden="false" customHeight="true" outlineLevel="0" collapsed="false">
      <c r="A64" s="3" t="s">
        <v>664</v>
      </c>
      <c r="B64" s="4" t="s">
        <v>665</v>
      </c>
      <c r="C64" s="4" t="s">
        <v>666</v>
      </c>
      <c r="D64" s="3" t="s">
        <v>68</v>
      </c>
      <c r="E64" s="3" t="s">
        <v>107</v>
      </c>
      <c r="F64" s="3" t="s">
        <v>196</v>
      </c>
      <c r="G64" s="4" t="s">
        <v>667</v>
      </c>
      <c r="H64" s="4" t="s">
        <v>668</v>
      </c>
      <c r="I64" s="4" t="s">
        <v>175</v>
      </c>
      <c r="J64" s="3" t="s">
        <v>208</v>
      </c>
      <c r="K64" s="4" t="s">
        <v>209</v>
      </c>
      <c r="L64" s="5" t="n">
        <v>20000</v>
      </c>
      <c r="M64" s="4" t="n">
        <v>0</v>
      </c>
      <c r="N64" s="4" t="n">
        <v>0</v>
      </c>
      <c r="O64" s="4" t="n">
        <v>0</v>
      </c>
      <c r="P64" s="5" t="n">
        <v>13800</v>
      </c>
      <c r="Q64" s="5" t="n">
        <f aca="false">SUM(M64:P64)</f>
        <v>13800</v>
      </c>
      <c r="R64" s="3" t="s">
        <v>60</v>
      </c>
      <c r="S64" s="4"/>
      <c r="T64" s="4"/>
      <c r="U64" s="4"/>
      <c r="V64" s="3"/>
      <c r="W64" s="4"/>
      <c r="X64" s="4" t="s">
        <v>154</v>
      </c>
      <c r="Y64" s="4" t="s">
        <v>478</v>
      </c>
      <c r="Z64" s="4" t="s">
        <v>95</v>
      </c>
      <c r="AA64" s="4" t="s">
        <v>231</v>
      </c>
      <c r="AB64" s="3" t="s">
        <v>178</v>
      </c>
      <c r="AC64" s="4" t="s">
        <v>669</v>
      </c>
      <c r="AD64" s="4" t="s">
        <v>59</v>
      </c>
      <c r="AE64" s="3" t="s">
        <v>60</v>
      </c>
      <c r="AF64" s="3" t="s">
        <v>60</v>
      </c>
      <c r="AG64" s="4" t="n">
        <v>1</v>
      </c>
      <c r="AH64" s="4" t="s">
        <v>100</v>
      </c>
      <c r="AI64" s="4" t="s">
        <v>118</v>
      </c>
      <c r="AJ64" s="3" t="n">
        <v>7</v>
      </c>
      <c r="AK64" s="6" t="s">
        <v>670</v>
      </c>
      <c r="AL64" s="0" t="s">
        <v>64</v>
      </c>
    </row>
    <row r="65" customFormat="false" ht="23.25" hidden="false" customHeight="true" outlineLevel="0" collapsed="false">
      <c r="A65" s="3" t="s">
        <v>671</v>
      </c>
      <c r="B65" s="4" t="s">
        <v>672</v>
      </c>
      <c r="C65" s="4" t="s">
        <v>673</v>
      </c>
      <c r="D65" s="3" t="s">
        <v>41</v>
      </c>
      <c r="E65" s="3" t="s">
        <v>237</v>
      </c>
      <c r="F65" s="3" t="s">
        <v>196</v>
      </c>
      <c r="G65" s="4" t="s">
        <v>674</v>
      </c>
      <c r="H65" s="4" t="s">
        <v>675</v>
      </c>
      <c r="I65" s="4" t="s">
        <v>110</v>
      </c>
      <c r="J65" s="3" t="s">
        <v>221</v>
      </c>
      <c r="K65" s="4"/>
      <c r="L65" s="4"/>
      <c r="M65" s="4" t="n">
        <v>0</v>
      </c>
      <c r="N65" s="4" t="n">
        <v>0</v>
      </c>
      <c r="O65" s="4" t="n">
        <v>0</v>
      </c>
      <c r="P65" s="4" t="n">
        <v>0</v>
      </c>
      <c r="Q65" s="5" t="n">
        <f aca="false">SUM(M65:P65)</f>
        <v>0</v>
      </c>
      <c r="R65" s="3" t="s">
        <v>60</v>
      </c>
      <c r="S65" s="4"/>
      <c r="T65" s="4"/>
      <c r="U65" s="4"/>
      <c r="V65" s="3"/>
      <c r="W65" s="4"/>
      <c r="X65" s="4"/>
      <c r="Y65" s="4" t="s">
        <v>676</v>
      </c>
      <c r="Z65" s="4" t="s">
        <v>55</v>
      </c>
      <c r="AA65" s="4" t="s">
        <v>290</v>
      </c>
      <c r="AB65" s="3" t="s">
        <v>242</v>
      </c>
      <c r="AC65" s="4" t="s">
        <v>677</v>
      </c>
      <c r="AD65" s="4" t="s">
        <v>407</v>
      </c>
      <c r="AE65" s="3" t="s">
        <v>60</v>
      </c>
      <c r="AF65" s="3" t="s">
        <v>60</v>
      </c>
      <c r="AG65" s="4" t="n">
        <v>2</v>
      </c>
      <c r="AH65" s="4" t="s">
        <v>61</v>
      </c>
      <c r="AI65" s="4" t="s">
        <v>118</v>
      </c>
      <c r="AJ65" s="3" t="n">
        <v>6</v>
      </c>
      <c r="AK65" s="6" t="s">
        <v>678</v>
      </c>
      <c r="AL65" s="0" t="s">
        <v>102</v>
      </c>
    </row>
    <row r="66" customFormat="false" ht="23.25" hidden="false" customHeight="true" outlineLevel="0" collapsed="false">
      <c r="A66" s="3" t="s">
        <v>679</v>
      </c>
      <c r="B66" s="4" t="s">
        <v>680</v>
      </c>
      <c r="C66" s="4" t="s">
        <v>681</v>
      </c>
      <c r="D66" s="3" t="s">
        <v>106</v>
      </c>
      <c r="E66" s="3" t="s">
        <v>218</v>
      </c>
      <c r="F66" s="3" t="s">
        <v>196</v>
      </c>
      <c r="G66" s="4" t="s">
        <v>682</v>
      </c>
      <c r="H66" s="4" t="s">
        <v>683</v>
      </c>
      <c r="I66" s="4" t="s">
        <v>91</v>
      </c>
      <c r="J66" s="3" t="s">
        <v>221</v>
      </c>
      <c r="K66" s="4"/>
      <c r="L66" s="4"/>
      <c r="M66" s="4" t="n">
        <v>0</v>
      </c>
      <c r="N66" s="4" t="n">
        <v>0</v>
      </c>
      <c r="O66" s="4" t="n">
        <v>0</v>
      </c>
      <c r="P66" s="4" t="n">
        <v>0</v>
      </c>
      <c r="Q66" s="5" t="n">
        <f aca="false">SUM(M66:P66)</f>
        <v>0</v>
      </c>
      <c r="R66" s="3" t="s">
        <v>60</v>
      </c>
      <c r="S66" s="4"/>
      <c r="T66" s="4"/>
      <c r="U66" s="4"/>
      <c r="V66" s="3"/>
      <c r="W66" s="4"/>
      <c r="X66" s="4"/>
      <c r="Y66" s="4"/>
      <c r="Z66" s="4" t="s">
        <v>95</v>
      </c>
      <c r="AA66" s="4" t="s">
        <v>380</v>
      </c>
      <c r="AB66" s="3" t="s">
        <v>223</v>
      </c>
      <c r="AC66" s="4" t="s">
        <v>811</v>
      </c>
      <c r="AD66" s="4" t="s">
        <v>333</v>
      </c>
      <c r="AE66" s="3" t="s">
        <v>60</v>
      </c>
      <c r="AF66" s="3" t="s">
        <v>60</v>
      </c>
      <c r="AG66" s="4" t="n">
        <v>0</v>
      </c>
      <c r="AH66" s="4" t="s">
        <v>157</v>
      </c>
      <c r="AI66" s="4" t="s">
        <v>213</v>
      </c>
      <c r="AJ66" s="3" t="n">
        <v>5</v>
      </c>
      <c r="AK66" s="6" t="s">
        <v>685</v>
      </c>
      <c r="AL66" s="0" t="s">
        <v>64</v>
      </c>
    </row>
    <row r="67" customFormat="false" ht="23.25" hidden="false" customHeight="true" outlineLevel="0" collapsed="false">
      <c r="A67" s="3" t="s">
        <v>686</v>
      </c>
      <c r="B67" s="4" t="s">
        <v>687</v>
      </c>
      <c r="C67" s="4" t="s">
        <v>688</v>
      </c>
      <c r="D67" s="3" t="s">
        <v>68</v>
      </c>
      <c r="E67" s="3" t="s">
        <v>218</v>
      </c>
      <c r="F67" s="3" t="s">
        <v>196</v>
      </c>
      <c r="G67" s="4" t="s">
        <v>689</v>
      </c>
      <c r="H67" s="4" t="s">
        <v>690</v>
      </c>
      <c r="I67" s="4" t="s">
        <v>186</v>
      </c>
      <c r="J67" s="3" t="s">
        <v>221</v>
      </c>
      <c r="K67" s="4"/>
      <c r="L67" s="4"/>
      <c r="M67" s="4" t="n">
        <v>0</v>
      </c>
      <c r="N67" s="4" t="n">
        <v>0</v>
      </c>
      <c r="O67" s="4" t="n">
        <v>0</v>
      </c>
      <c r="P67" s="4" t="n">
        <v>0</v>
      </c>
      <c r="Q67" s="5" t="n">
        <f aca="false">SUM(M67:P67)</f>
        <v>0</v>
      </c>
      <c r="R67" s="3" t="s">
        <v>60</v>
      </c>
      <c r="S67" s="4"/>
      <c r="T67" s="4"/>
      <c r="U67" s="4"/>
      <c r="V67" s="3"/>
      <c r="W67" s="4"/>
      <c r="X67" s="4"/>
      <c r="Y67" s="4" t="s">
        <v>691</v>
      </c>
      <c r="Z67" s="4" t="s">
        <v>114</v>
      </c>
      <c r="AA67" s="4" t="s">
        <v>143</v>
      </c>
      <c r="AB67" s="3" t="s">
        <v>79</v>
      </c>
      <c r="AC67" s="4" t="s">
        <v>692</v>
      </c>
      <c r="AD67" s="4" t="s">
        <v>117</v>
      </c>
      <c r="AE67" s="3" t="s">
        <v>60</v>
      </c>
      <c r="AF67" s="3" t="s">
        <v>60</v>
      </c>
      <c r="AG67" s="4" t="n">
        <v>0</v>
      </c>
      <c r="AH67" s="4" t="s">
        <v>100</v>
      </c>
      <c r="AI67" s="4" t="s">
        <v>118</v>
      </c>
      <c r="AJ67" s="3" t="n">
        <v>6</v>
      </c>
      <c r="AK67" s="6" t="s">
        <v>693</v>
      </c>
      <c r="AL67" s="0" t="s">
        <v>102</v>
      </c>
    </row>
    <row r="68" customFormat="false" ht="23.25" hidden="false" customHeight="true" outlineLevel="0" collapsed="false">
      <c r="A68" s="3" t="s">
        <v>694</v>
      </c>
      <c r="B68" s="4" t="s">
        <v>695</v>
      </c>
      <c r="C68" s="4" t="s">
        <v>696</v>
      </c>
      <c r="D68" s="3" t="s">
        <v>106</v>
      </c>
      <c r="E68" s="3" t="s">
        <v>107</v>
      </c>
      <c r="F68" s="3" t="s">
        <v>196</v>
      </c>
      <c r="G68" s="4" t="s">
        <v>697</v>
      </c>
      <c r="H68" s="4" t="s">
        <v>698</v>
      </c>
      <c r="I68" s="4" t="s">
        <v>139</v>
      </c>
      <c r="J68" s="3" t="s">
        <v>208</v>
      </c>
      <c r="K68" s="4" t="s">
        <v>363</v>
      </c>
      <c r="L68" s="5" t="n">
        <v>15000</v>
      </c>
      <c r="M68" s="4" t="n">
        <v>0</v>
      </c>
      <c r="N68" s="4" t="n">
        <v>0</v>
      </c>
      <c r="O68" s="4" t="n">
        <v>0</v>
      </c>
      <c r="P68" s="5" t="n">
        <v>11800</v>
      </c>
      <c r="Q68" s="5" t="n">
        <f aca="false">SUM(M68:P68)</f>
        <v>11800</v>
      </c>
      <c r="R68" s="3" t="s">
        <v>60</v>
      </c>
      <c r="S68" s="4"/>
      <c r="T68" s="4"/>
      <c r="U68" s="4"/>
      <c r="V68" s="3"/>
      <c r="W68" s="4"/>
      <c r="X68" s="4" t="s">
        <v>154</v>
      </c>
      <c r="Y68" s="4" t="s">
        <v>331</v>
      </c>
      <c r="Z68" s="4" t="s">
        <v>95</v>
      </c>
      <c r="AA68" s="4" t="s">
        <v>129</v>
      </c>
      <c r="AB68" s="3" t="s">
        <v>79</v>
      </c>
      <c r="AC68" s="4" t="s">
        <v>699</v>
      </c>
      <c r="AD68" s="4" t="s">
        <v>59</v>
      </c>
      <c r="AE68" s="3" t="s">
        <v>60</v>
      </c>
      <c r="AF68" s="3" t="s">
        <v>60</v>
      </c>
      <c r="AG68" s="4" t="n">
        <v>1</v>
      </c>
      <c r="AH68" s="4" t="s">
        <v>157</v>
      </c>
      <c r="AI68" s="4" t="s">
        <v>118</v>
      </c>
      <c r="AJ68" s="3" t="n">
        <v>7</v>
      </c>
      <c r="AK68" s="6" t="s">
        <v>700</v>
      </c>
      <c r="AL68" s="0" t="s">
        <v>64</v>
      </c>
    </row>
    <row r="69" customFormat="false" ht="23.25" hidden="false" customHeight="true" outlineLevel="0" collapsed="false">
      <c r="A69" s="3" t="s">
        <v>701</v>
      </c>
      <c r="B69" s="4" t="s">
        <v>702</v>
      </c>
      <c r="C69" s="4" t="s">
        <v>703</v>
      </c>
      <c r="D69" s="3" t="s">
        <v>41</v>
      </c>
      <c r="E69" s="3" t="s">
        <v>218</v>
      </c>
      <c r="F69" s="3" t="s">
        <v>196</v>
      </c>
      <c r="G69" s="4" t="s">
        <v>704</v>
      </c>
      <c r="H69" s="4" t="s">
        <v>705</v>
      </c>
      <c r="I69" s="4" t="s">
        <v>175</v>
      </c>
      <c r="J69" s="3" t="s">
        <v>221</v>
      </c>
      <c r="K69" s="4"/>
      <c r="L69" s="4"/>
      <c r="M69" s="4" t="n">
        <v>0</v>
      </c>
      <c r="N69" s="4" t="n">
        <v>0</v>
      </c>
      <c r="O69" s="4" t="n">
        <v>0</v>
      </c>
      <c r="P69" s="4" t="n">
        <v>0</v>
      </c>
      <c r="Q69" s="5" t="n">
        <f aca="false">SUM(M69:P69)</f>
        <v>0</v>
      </c>
      <c r="R69" s="3" t="s">
        <v>60</v>
      </c>
      <c r="S69" s="4"/>
      <c r="T69" s="4"/>
      <c r="U69" s="4"/>
      <c r="V69" s="3"/>
      <c r="W69" s="4"/>
      <c r="X69" s="4"/>
      <c r="Y69" s="4"/>
      <c r="Z69" s="4" t="s">
        <v>114</v>
      </c>
      <c r="AA69" s="4" t="s">
        <v>189</v>
      </c>
      <c r="AB69" s="3" t="s">
        <v>223</v>
      </c>
      <c r="AC69" s="4" t="s">
        <v>706</v>
      </c>
      <c r="AD69" s="4" t="s">
        <v>59</v>
      </c>
      <c r="AE69" s="3" t="s">
        <v>60</v>
      </c>
      <c r="AF69" s="3" t="s">
        <v>60</v>
      </c>
      <c r="AG69" s="4" t="n">
        <v>0</v>
      </c>
      <c r="AH69" s="4" t="s">
        <v>157</v>
      </c>
      <c r="AI69" s="4" t="s">
        <v>213</v>
      </c>
      <c r="AJ69" s="3" t="n">
        <v>6</v>
      </c>
      <c r="AK69" s="6" t="s">
        <v>707</v>
      </c>
      <c r="AL69" s="0" t="s">
        <v>102</v>
      </c>
    </row>
    <row r="70" customFormat="false" ht="15" hidden="false" customHeight="true" outlineLevel="0" collapsed="false">
      <c r="A70" s="3" t="s">
        <v>708</v>
      </c>
      <c r="B70" s="4" t="s">
        <v>709</v>
      </c>
      <c r="C70" s="4" t="s">
        <v>710</v>
      </c>
      <c r="D70" s="3" t="s">
        <v>106</v>
      </c>
      <c r="E70" s="3" t="s">
        <v>195</v>
      </c>
      <c r="F70" s="3" t="s">
        <v>196</v>
      </c>
      <c r="G70" s="4" t="s">
        <v>711</v>
      </c>
      <c r="H70" s="4" t="s">
        <v>712</v>
      </c>
      <c r="I70" s="4" t="s">
        <v>46</v>
      </c>
      <c r="J70" s="3" t="s">
        <v>208</v>
      </c>
      <c r="K70" s="4" t="s">
        <v>115</v>
      </c>
      <c r="L70" s="5" t="n">
        <v>10000</v>
      </c>
      <c r="M70" s="4" t="n">
        <v>0</v>
      </c>
      <c r="N70" s="4" t="n">
        <v>0</v>
      </c>
      <c r="O70" s="4" t="n">
        <v>0</v>
      </c>
      <c r="P70" s="5" t="n">
        <v>8300</v>
      </c>
      <c r="Q70" s="5" t="n">
        <f aca="false">SUM(M70:P70)</f>
        <v>8300</v>
      </c>
      <c r="R70" s="3" t="s">
        <v>60</v>
      </c>
      <c r="S70" s="4"/>
      <c r="T70" s="4"/>
      <c r="U70" s="4"/>
      <c r="V70" s="3"/>
      <c r="W70" s="4"/>
      <c r="X70" s="4" t="s">
        <v>154</v>
      </c>
      <c r="Y70" s="4" t="s">
        <v>77</v>
      </c>
      <c r="Z70" s="4" t="s">
        <v>95</v>
      </c>
      <c r="AA70" s="4" t="s">
        <v>300</v>
      </c>
      <c r="AB70" s="3" t="s">
        <v>97</v>
      </c>
      <c r="AC70" s="4" t="s">
        <v>713</v>
      </c>
      <c r="AD70" s="4" t="s">
        <v>81</v>
      </c>
      <c r="AE70" s="3" t="s">
        <v>60</v>
      </c>
      <c r="AF70" s="3" t="s">
        <v>60</v>
      </c>
      <c r="AG70" s="4" t="n">
        <v>1</v>
      </c>
      <c r="AH70" s="4" t="s">
        <v>157</v>
      </c>
      <c r="AI70" s="4" t="s">
        <v>118</v>
      </c>
      <c r="AJ70" s="3" t="n">
        <v>5</v>
      </c>
      <c r="AK70" s="6" t="s">
        <v>714</v>
      </c>
      <c r="AL70" s="0" t="s">
        <v>85</v>
      </c>
    </row>
    <row r="71" customFormat="false" ht="23.25" hidden="false" customHeight="true" outlineLevel="0" collapsed="false">
      <c r="A71" s="3" t="s">
        <v>715</v>
      </c>
      <c r="B71" s="4" t="s">
        <v>716</v>
      </c>
      <c r="C71" s="4" t="s">
        <v>717</v>
      </c>
      <c r="D71" s="3" t="s">
        <v>68</v>
      </c>
      <c r="E71" s="3" t="s">
        <v>237</v>
      </c>
      <c r="F71" s="3" t="s">
        <v>196</v>
      </c>
      <c r="G71" s="4" t="s">
        <v>718</v>
      </c>
      <c r="H71" s="4" t="s">
        <v>719</v>
      </c>
      <c r="I71" s="4" t="s">
        <v>110</v>
      </c>
      <c r="J71" s="3" t="s">
        <v>221</v>
      </c>
      <c r="K71" s="4"/>
      <c r="L71" s="4"/>
      <c r="M71" s="4" t="n">
        <v>0</v>
      </c>
      <c r="N71" s="4" t="n">
        <v>0</v>
      </c>
      <c r="O71" s="4" t="n">
        <v>0</v>
      </c>
      <c r="P71" s="4" t="n">
        <v>0</v>
      </c>
      <c r="Q71" s="5" t="n">
        <f aca="false">SUM(M71:P71)</f>
        <v>0</v>
      </c>
      <c r="R71" s="3" t="s">
        <v>60</v>
      </c>
      <c r="S71" s="4"/>
      <c r="T71" s="4"/>
      <c r="U71" s="4"/>
      <c r="V71" s="3"/>
      <c r="W71" s="4"/>
      <c r="X71" s="4"/>
      <c r="Y71" s="4" t="s">
        <v>362</v>
      </c>
      <c r="Z71" s="4" t="s">
        <v>55</v>
      </c>
      <c r="AA71" s="4" t="s">
        <v>405</v>
      </c>
      <c r="AB71" s="3" t="s">
        <v>242</v>
      </c>
      <c r="AC71" s="4" t="s">
        <v>720</v>
      </c>
      <c r="AD71" s="4" t="s">
        <v>721</v>
      </c>
      <c r="AE71" s="3" t="s">
        <v>60</v>
      </c>
      <c r="AF71" s="3" t="s">
        <v>60</v>
      </c>
      <c r="AG71" s="4" t="n">
        <v>1</v>
      </c>
      <c r="AH71" s="4" t="s">
        <v>61</v>
      </c>
      <c r="AI71" s="4" t="s">
        <v>118</v>
      </c>
      <c r="AJ71" s="3" t="n">
        <v>9</v>
      </c>
      <c r="AK71" s="6" t="s">
        <v>722</v>
      </c>
      <c r="AL71" s="0" t="s">
        <v>64</v>
      </c>
    </row>
    <row r="72" customFormat="false" ht="23.25" hidden="false" customHeight="true" outlineLevel="0" collapsed="false">
      <c r="A72" s="3" t="s">
        <v>723</v>
      </c>
      <c r="B72" s="4" t="s">
        <v>724</v>
      </c>
      <c r="C72" s="4" t="s">
        <v>725</v>
      </c>
      <c r="D72" s="3" t="s">
        <v>106</v>
      </c>
      <c r="E72" s="3" t="s">
        <v>195</v>
      </c>
      <c r="F72" s="3" t="s">
        <v>196</v>
      </c>
      <c r="G72" s="4" t="s">
        <v>726</v>
      </c>
      <c r="H72" s="4" t="s">
        <v>727</v>
      </c>
      <c r="I72" s="4" t="s">
        <v>46</v>
      </c>
      <c r="J72" s="3" t="s">
        <v>221</v>
      </c>
      <c r="K72" s="4"/>
      <c r="L72" s="4"/>
      <c r="M72" s="4" t="n">
        <v>0</v>
      </c>
      <c r="N72" s="4" t="n">
        <v>0</v>
      </c>
      <c r="O72" s="4" t="n">
        <v>0</v>
      </c>
      <c r="P72" s="4" t="n">
        <v>0</v>
      </c>
      <c r="Q72" s="5" t="n">
        <f aca="false">SUM(M72:P72)</f>
        <v>0</v>
      </c>
      <c r="R72" s="3" t="s">
        <v>60</v>
      </c>
      <c r="S72" s="4"/>
      <c r="T72" s="4"/>
      <c r="U72" s="4"/>
      <c r="V72" s="3"/>
      <c r="W72" s="4"/>
      <c r="X72" s="4"/>
      <c r="Y72" s="4" t="s">
        <v>77</v>
      </c>
      <c r="Z72" s="4" t="s">
        <v>95</v>
      </c>
      <c r="AA72" s="4" t="s">
        <v>290</v>
      </c>
      <c r="AB72" s="3" t="s">
        <v>79</v>
      </c>
      <c r="AC72" s="4" t="s">
        <v>728</v>
      </c>
      <c r="AD72" s="4" t="s">
        <v>729</v>
      </c>
      <c r="AE72" s="3" t="s">
        <v>60</v>
      </c>
      <c r="AF72" s="3" t="s">
        <v>60</v>
      </c>
      <c r="AG72" s="4" t="n">
        <v>0</v>
      </c>
      <c r="AH72" s="4" t="s">
        <v>157</v>
      </c>
      <c r="AI72" s="4" t="s">
        <v>118</v>
      </c>
      <c r="AJ72" s="3" t="n">
        <v>4</v>
      </c>
      <c r="AK72" s="6" t="s">
        <v>730</v>
      </c>
      <c r="AL72" s="0" t="s">
        <v>64</v>
      </c>
    </row>
    <row r="73" customFormat="false" ht="23.25" hidden="false" customHeight="true" outlineLevel="0" collapsed="false">
      <c r="A73" s="3" t="s">
        <v>731</v>
      </c>
      <c r="B73" s="4" t="s">
        <v>732</v>
      </c>
      <c r="C73" s="4" t="s">
        <v>733</v>
      </c>
      <c r="D73" s="3" t="s">
        <v>41</v>
      </c>
      <c r="E73" s="3" t="s">
        <v>218</v>
      </c>
      <c r="F73" s="3" t="s">
        <v>196</v>
      </c>
      <c r="G73" s="4" t="s">
        <v>734</v>
      </c>
      <c r="H73" s="4" t="s">
        <v>735</v>
      </c>
      <c r="I73" s="4" t="s">
        <v>110</v>
      </c>
      <c r="J73" s="3" t="s">
        <v>221</v>
      </c>
      <c r="K73" s="4"/>
      <c r="L73" s="4"/>
      <c r="M73" s="4" t="n">
        <v>0</v>
      </c>
      <c r="N73" s="4" t="n">
        <v>0</v>
      </c>
      <c r="O73" s="4" t="n">
        <v>0</v>
      </c>
      <c r="P73" s="4" t="n">
        <v>0</v>
      </c>
      <c r="Q73" s="5" t="n">
        <f aca="false">SUM(M73:P73)</f>
        <v>0</v>
      </c>
      <c r="R73" s="3" t="s">
        <v>60</v>
      </c>
      <c r="S73" s="4"/>
      <c r="T73" s="4"/>
      <c r="U73" s="4"/>
      <c r="V73" s="3"/>
      <c r="W73" s="4"/>
      <c r="X73" s="4"/>
      <c r="Y73" s="4"/>
      <c r="Z73" s="4" t="s">
        <v>114</v>
      </c>
      <c r="AA73" s="4" t="s">
        <v>341</v>
      </c>
      <c r="AB73" s="3" t="s">
        <v>223</v>
      </c>
      <c r="AC73" s="4" t="s">
        <v>539</v>
      </c>
      <c r="AD73" s="4" t="s">
        <v>59</v>
      </c>
      <c r="AE73" s="3" t="s">
        <v>60</v>
      </c>
      <c r="AF73" s="3" t="s">
        <v>60</v>
      </c>
      <c r="AG73" s="4" t="n">
        <v>0</v>
      </c>
      <c r="AH73" s="4" t="s">
        <v>61</v>
      </c>
      <c r="AI73" s="4" t="s">
        <v>280</v>
      </c>
      <c r="AJ73" s="3" t="n">
        <v>4</v>
      </c>
      <c r="AK73" s="6" t="s">
        <v>736</v>
      </c>
      <c r="AL73" s="0" t="s">
        <v>102</v>
      </c>
    </row>
    <row r="74" customFormat="false" ht="23.25" hidden="false" customHeight="true" outlineLevel="0" collapsed="false">
      <c r="A74" s="3" t="s">
        <v>737</v>
      </c>
      <c r="B74" s="4" t="s">
        <v>738</v>
      </c>
      <c r="C74" s="4" t="s">
        <v>739</v>
      </c>
      <c r="D74" s="3" t="s">
        <v>106</v>
      </c>
      <c r="E74" s="3" t="s">
        <v>107</v>
      </c>
      <c r="F74" s="3" t="s">
        <v>196</v>
      </c>
      <c r="G74" s="4" t="s">
        <v>740</v>
      </c>
      <c r="H74" s="4" t="s">
        <v>741</v>
      </c>
      <c r="I74" s="4" t="s">
        <v>175</v>
      </c>
      <c r="J74" s="3" t="s">
        <v>208</v>
      </c>
      <c r="K74" s="4" t="s">
        <v>310</v>
      </c>
      <c r="L74" s="5" t="n">
        <v>10000</v>
      </c>
      <c r="M74" s="4" t="n">
        <v>0</v>
      </c>
      <c r="N74" s="4" t="n">
        <v>0</v>
      </c>
      <c r="O74" s="4" t="n">
        <v>0</v>
      </c>
      <c r="P74" s="5" t="n">
        <v>8000</v>
      </c>
      <c r="Q74" s="5" t="n">
        <f aca="false">SUM(M74:P74)</f>
        <v>8000</v>
      </c>
      <c r="R74" s="3" t="s">
        <v>60</v>
      </c>
      <c r="S74" s="4"/>
      <c r="T74" s="4"/>
      <c r="U74" s="4"/>
      <c r="V74" s="3"/>
      <c r="W74" s="4"/>
      <c r="X74" s="4" t="s">
        <v>154</v>
      </c>
      <c r="Y74" s="4" t="s">
        <v>569</v>
      </c>
      <c r="Z74" s="4" t="s">
        <v>95</v>
      </c>
      <c r="AA74" s="4" t="s">
        <v>742</v>
      </c>
      <c r="AB74" s="3" t="s">
        <v>178</v>
      </c>
      <c r="AC74" s="4" t="s">
        <v>743</v>
      </c>
      <c r="AD74" s="4" t="s">
        <v>81</v>
      </c>
      <c r="AE74" s="3" t="s">
        <v>60</v>
      </c>
      <c r="AF74" s="3" t="s">
        <v>60</v>
      </c>
      <c r="AG74" s="4" t="n">
        <v>1</v>
      </c>
      <c r="AH74" s="4" t="s">
        <v>157</v>
      </c>
      <c r="AI74" s="4" t="s">
        <v>118</v>
      </c>
      <c r="AJ74" s="3" t="n">
        <v>4</v>
      </c>
      <c r="AK74" s="6" t="s">
        <v>744</v>
      </c>
      <c r="AL74" s="0" t="s">
        <v>102</v>
      </c>
    </row>
    <row r="75" customFormat="false" ht="15" hidden="false" customHeight="true" outlineLevel="0" collapsed="false">
      <c r="A75" s="3" t="s">
        <v>745</v>
      </c>
      <c r="B75" s="4" t="s">
        <v>746</v>
      </c>
      <c r="C75" s="4" t="s">
        <v>747</v>
      </c>
      <c r="D75" s="3" t="s">
        <v>106</v>
      </c>
      <c r="E75" s="3" t="s">
        <v>42</v>
      </c>
      <c r="F75" s="3" t="s">
        <v>43</v>
      </c>
      <c r="G75" s="4" t="s">
        <v>748</v>
      </c>
      <c r="H75" s="4" t="s">
        <v>749</v>
      </c>
      <c r="I75" s="4" t="s">
        <v>125</v>
      </c>
      <c r="J75" s="3" t="s">
        <v>208</v>
      </c>
      <c r="K75" s="4" t="s">
        <v>750</v>
      </c>
      <c r="L75" s="5" t="n">
        <v>10000</v>
      </c>
      <c r="M75" s="4" t="n">
        <v>0</v>
      </c>
      <c r="N75" s="4" t="n">
        <v>0</v>
      </c>
      <c r="O75" s="5" t="n">
        <v>10000</v>
      </c>
      <c r="P75" s="5" t="n">
        <v>9500</v>
      </c>
      <c r="Q75" s="5" t="n">
        <f aca="false">SUM(M75:P75)</f>
        <v>19500</v>
      </c>
      <c r="R75" s="3" t="s">
        <v>60</v>
      </c>
      <c r="S75" s="4"/>
      <c r="T75" s="4"/>
      <c r="U75" s="4"/>
      <c r="V75" s="3"/>
      <c r="W75" s="4"/>
      <c r="X75" s="4" t="s">
        <v>154</v>
      </c>
      <c r="Y75" s="4" t="s">
        <v>128</v>
      </c>
      <c r="Z75" s="4" t="s">
        <v>114</v>
      </c>
      <c r="AA75" s="4" t="s">
        <v>209</v>
      </c>
      <c r="AB75" s="3" t="s">
        <v>130</v>
      </c>
      <c r="AC75" s="4" t="s">
        <v>751</v>
      </c>
      <c r="AD75" s="4" t="s">
        <v>333</v>
      </c>
      <c r="AE75" s="3" t="s">
        <v>60</v>
      </c>
      <c r="AF75" s="3" t="s">
        <v>60</v>
      </c>
      <c r="AG75" s="4" t="n">
        <v>1</v>
      </c>
      <c r="AH75" s="4" t="s">
        <v>157</v>
      </c>
      <c r="AI75" s="4" t="s">
        <v>118</v>
      </c>
      <c r="AJ75" s="3" t="n">
        <v>5</v>
      </c>
      <c r="AK75" s="6" t="s">
        <v>752</v>
      </c>
      <c r="AL75" s="0" t="s">
        <v>64</v>
      </c>
    </row>
    <row r="76" customFormat="false" ht="23.25" hidden="false" customHeight="true" outlineLevel="0" collapsed="false">
      <c r="A76" s="3" t="s">
        <v>753</v>
      </c>
      <c r="B76" s="4" t="s">
        <v>754</v>
      </c>
      <c r="C76" s="4" t="s">
        <v>755</v>
      </c>
      <c r="D76" s="3" t="s">
        <v>68</v>
      </c>
      <c r="E76" s="3" t="s">
        <v>42</v>
      </c>
      <c r="F76" s="3" t="s">
        <v>43</v>
      </c>
      <c r="G76" s="4" t="s">
        <v>756</v>
      </c>
      <c r="H76" s="4" t="s">
        <v>757</v>
      </c>
      <c r="I76" s="4" t="s">
        <v>46</v>
      </c>
      <c r="J76" s="3" t="s">
        <v>152</v>
      </c>
      <c r="K76" s="4" t="s">
        <v>758</v>
      </c>
      <c r="L76" s="5" t="n">
        <v>20000</v>
      </c>
      <c r="M76" s="5" t="n">
        <v>25000</v>
      </c>
      <c r="N76" s="5" t="n">
        <v>30000</v>
      </c>
      <c r="O76" s="5" t="n">
        <v>35000</v>
      </c>
      <c r="P76" s="5" t="n">
        <v>40500</v>
      </c>
      <c r="Q76" s="5" t="n">
        <f aca="false">SUM(M76:P76)</f>
        <v>130500</v>
      </c>
      <c r="R76" s="3" t="s">
        <v>60</v>
      </c>
      <c r="S76" s="4"/>
      <c r="T76" s="4"/>
      <c r="U76" s="4"/>
      <c r="V76" s="3"/>
      <c r="W76" s="4"/>
      <c r="X76" s="4" t="s">
        <v>759</v>
      </c>
      <c r="Y76" s="4" t="s">
        <v>478</v>
      </c>
      <c r="Z76" s="4" t="s">
        <v>95</v>
      </c>
      <c r="AA76" s="4" t="s">
        <v>200</v>
      </c>
      <c r="AB76" s="3" t="s">
        <v>79</v>
      </c>
      <c r="AC76" s="4" t="s">
        <v>760</v>
      </c>
      <c r="AD76" s="4" t="s">
        <v>59</v>
      </c>
      <c r="AE76" s="3" t="s">
        <v>60</v>
      </c>
      <c r="AF76" s="3" t="s">
        <v>60</v>
      </c>
      <c r="AG76" s="4" t="n">
        <v>2</v>
      </c>
      <c r="AH76" s="4" t="s">
        <v>157</v>
      </c>
      <c r="AI76" s="4" t="s">
        <v>83</v>
      </c>
      <c r="AJ76" s="3" t="n">
        <v>6</v>
      </c>
      <c r="AK76" s="6" t="s">
        <v>761</v>
      </c>
      <c r="AL76" s="0" t="s">
        <v>85</v>
      </c>
    </row>
    <row r="77" customFormat="false" ht="23.25" hidden="false" customHeight="true" outlineLevel="0" collapsed="false">
      <c r="A77" s="3" t="s">
        <v>762</v>
      </c>
      <c r="B77" s="4" t="s">
        <v>763</v>
      </c>
      <c r="C77" s="4" t="s">
        <v>764</v>
      </c>
      <c r="D77" s="3" t="s">
        <v>41</v>
      </c>
      <c r="E77" s="3" t="s">
        <v>249</v>
      </c>
      <c r="F77" s="3" t="s">
        <v>250</v>
      </c>
      <c r="G77" s="4" t="s">
        <v>765</v>
      </c>
      <c r="H77" s="4" t="s">
        <v>766</v>
      </c>
      <c r="I77" s="4" t="s">
        <v>125</v>
      </c>
      <c r="J77" s="3" t="s">
        <v>152</v>
      </c>
      <c r="K77" s="4" t="s">
        <v>767</v>
      </c>
      <c r="L77" s="5" t="n">
        <v>30000</v>
      </c>
      <c r="M77" s="5" t="n">
        <v>35000</v>
      </c>
      <c r="N77" s="5" t="n">
        <v>40000</v>
      </c>
      <c r="O77" s="5" t="n">
        <v>20000</v>
      </c>
      <c r="P77" s="4" t="n">
        <v>0</v>
      </c>
      <c r="Q77" s="5" t="n">
        <f aca="false">SUM(M77:P77)</f>
        <v>95000</v>
      </c>
      <c r="R77" s="3" t="s">
        <v>60</v>
      </c>
      <c r="S77" s="4"/>
      <c r="T77" s="4"/>
      <c r="U77" s="4"/>
      <c r="V77" s="3"/>
      <c r="W77" s="4"/>
      <c r="X77" s="4" t="s">
        <v>768</v>
      </c>
      <c r="Y77" s="4" t="s">
        <v>128</v>
      </c>
      <c r="Z77" s="4" t="s">
        <v>55</v>
      </c>
      <c r="AA77" s="4" t="s">
        <v>431</v>
      </c>
      <c r="AB77" s="3" t="s">
        <v>79</v>
      </c>
      <c r="AC77" s="4" t="s">
        <v>805</v>
      </c>
      <c r="AD77" s="4" t="s">
        <v>81</v>
      </c>
      <c r="AE77" s="3" t="s">
        <v>60</v>
      </c>
      <c r="AF77" s="3" t="s">
        <v>258</v>
      </c>
      <c r="AG77" s="4" t="n">
        <v>0</v>
      </c>
      <c r="AH77" s="4" t="s">
        <v>100</v>
      </c>
      <c r="AI77" s="4" t="s">
        <v>118</v>
      </c>
      <c r="AJ77" s="3" t="n">
        <v>7</v>
      </c>
      <c r="AK77" s="6" t="s">
        <v>770</v>
      </c>
      <c r="AL77" s="0" t="s">
        <v>64</v>
      </c>
    </row>
    <row r="78" customFormat="false" ht="23.25" hidden="false" customHeight="true" outlineLevel="0" collapsed="false">
      <c r="A78" s="3" t="s">
        <v>771</v>
      </c>
      <c r="B78" s="4" t="s">
        <v>772</v>
      </c>
      <c r="C78" s="4" t="s">
        <v>773</v>
      </c>
      <c r="D78" s="3" t="s">
        <v>106</v>
      </c>
      <c r="E78" s="3" t="s">
        <v>249</v>
      </c>
      <c r="F78" s="3" t="s">
        <v>250</v>
      </c>
      <c r="G78" s="4" t="s">
        <v>774</v>
      </c>
      <c r="H78" s="4" t="s">
        <v>775</v>
      </c>
      <c r="I78" s="4" t="s">
        <v>186</v>
      </c>
      <c r="J78" s="3" t="s">
        <v>208</v>
      </c>
      <c r="K78" s="4" t="s">
        <v>776</v>
      </c>
      <c r="L78" s="5" t="n">
        <v>10000</v>
      </c>
      <c r="M78" s="5" t="n">
        <v>10000</v>
      </c>
      <c r="N78" s="5" t="n">
        <v>15000</v>
      </c>
      <c r="O78" s="4" t="n">
        <v>0</v>
      </c>
      <c r="P78" s="4" t="n">
        <v>0</v>
      </c>
      <c r="Q78" s="5" t="n">
        <f aca="false">SUM(M78:P78)</f>
        <v>25000</v>
      </c>
      <c r="R78" s="3" t="s">
        <v>60</v>
      </c>
      <c r="S78" s="4"/>
      <c r="T78" s="4"/>
      <c r="U78" s="4"/>
      <c r="V78" s="3"/>
      <c r="W78" s="4"/>
      <c r="X78" s="4" t="s">
        <v>154</v>
      </c>
      <c r="Y78" s="4" t="s">
        <v>128</v>
      </c>
      <c r="Z78" s="4" t="s">
        <v>114</v>
      </c>
      <c r="AA78" s="4" t="s">
        <v>266</v>
      </c>
      <c r="AB78" s="3" t="s">
        <v>267</v>
      </c>
      <c r="AC78" s="4" t="s">
        <v>777</v>
      </c>
      <c r="AD78" s="4" t="s">
        <v>99</v>
      </c>
      <c r="AE78" s="3" t="s">
        <v>60</v>
      </c>
      <c r="AF78" s="3" t="s">
        <v>60</v>
      </c>
      <c r="AG78" s="4" t="n">
        <v>0</v>
      </c>
      <c r="AH78" s="4" t="s">
        <v>157</v>
      </c>
      <c r="AI78" s="4" t="s">
        <v>213</v>
      </c>
      <c r="AJ78" s="3" t="n">
        <v>4</v>
      </c>
      <c r="AK78" s="6" t="s">
        <v>778</v>
      </c>
      <c r="AL78" s="0" t="s">
        <v>102</v>
      </c>
    </row>
    <row r="79" customFormat="false" ht="23.25" hidden="false" customHeight="true" outlineLevel="0" collapsed="false">
      <c r="A79" s="3" t="s">
        <v>779</v>
      </c>
      <c r="B79" s="4" t="s">
        <v>780</v>
      </c>
      <c r="C79" s="4" t="s">
        <v>781</v>
      </c>
      <c r="D79" s="3" t="s">
        <v>41</v>
      </c>
      <c r="E79" s="3" t="s">
        <v>273</v>
      </c>
      <c r="F79" s="3" t="s">
        <v>274</v>
      </c>
      <c r="G79" s="4" t="s">
        <v>782</v>
      </c>
      <c r="H79" s="4" t="s">
        <v>783</v>
      </c>
      <c r="I79" s="4" t="s">
        <v>110</v>
      </c>
      <c r="J79" s="3" t="s">
        <v>221</v>
      </c>
      <c r="K79" s="4"/>
      <c r="L79" s="4"/>
      <c r="M79" s="4" t="n">
        <v>0</v>
      </c>
      <c r="N79" s="4" t="n">
        <v>0</v>
      </c>
      <c r="O79" s="4" t="n">
        <v>0</v>
      </c>
      <c r="P79" s="4" t="n">
        <v>0</v>
      </c>
      <c r="Q79" s="5" t="n">
        <f aca="false">SUM(M79:P79)</f>
        <v>0</v>
      </c>
      <c r="R79" s="3" t="s">
        <v>60</v>
      </c>
      <c r="S79" s="4"/>
      <c r="T79" s="4"/>
      <c r="U79" s="4"/>
      <c r="V79" s="3"/>
      <c r="W79" s="4"/>
      <c r="X79" s="4"/>
      <c r="Y79" s="4"/>
      <c r="Z79" s="4" t="s">
        <v>55</v>
      </c>
      <c r="AA79" s="4" t="s">
        <v>784</v>
      </c>
      <c r="AB79" s="3" t="s">
        <v>79</v>
      </c>
      <c r="AC79" s="4" t="s">
        <v>785</v>
      </c>
      <c r="AD79" s="4" t="s">
        <v>786</v>
      </c>
      <c r="AE79" s="3" t="s">
        <v>60</v>
      </c>
      <c r="AF79" s="3" t="s">
        <v>60</v>
      </c>
      <c r="AG79" s="4" t="n">
        <v>0</v>
      </c>
      <c r="AH79" s="4" t="s">
        <v>61</v>
      </c>
      <c r="AI79" s="4" t="s">
        <v>280</v>
      </c>
      <c r="AJ79" s="3" t="n">
        <v>4</v>
      </c>
      <c r="AK79" s="6" t="s">
        <v>787</v>
      </c>
      <c r="AL79" s="0" t="s">
        <v>102</v>
      </c>
    </row>
    <row r="80" customFormat="false" ht="15" hidden="false" customHeight="true" outlineLevel="0" collapsed="false">
      <c r="A80" s="3" t="s">
        <v>788</v>
      </c>
      <c r="B80" s="4" t="s">
        <v>789</v>
      </c>
      <c r="C80" s="4" t="s">
        <v>790</v>
      </c>
      <c r="D80" s="3" t="s">
        <v>106</v>
      </c>
      <c r="E80" s="3" t="s">
        <v>273</v>
      </c>
      <c r="F80" s="3" t="s">
        <v>274</v>
      </c>
      <c r="G80" s="4" t="s">
        <v>791</v>
      </c>
      <c r="H80" s="4" t="s">
        <v>792</v>
      </c>
      <c r="I80" s="4" t="s">
        <v>125</v>
      </c>
      <c r="J80" s="3" t="s">
        <v>221</v>
      </c>
      <c r="K80" s="4"/>
      <c r="L80" s="4"/>
      <c r="M80" s="4" t="n">
        <v>0</v>
      </c>
      <c r="N80" s="4" t="n">
        <v>0</v>
      </c>
      <c r="O80" s="4" t="n">
        <v>0</v>
      </c>
      <c r="P80" s="4" t="n">
        <v>0</v>
      </c>
      <c r="Q80" s="5" t="n">
        <f aca="false">SUM(M80:P80)</f>
        <v>0</v>
      </c>
      <c r="R80" s="3" t="s">
        <v>60</v>
      </c>
      <c r="S80" s="4"/>
      <c r="T80" s="4"/>
      <c r="U80" s="4"/>
      <c r="V80" s="3"/>
      <c r="W80" s="4"/>
      <c r="X80" s="4"/>
      <c r="Y80" s="4"/>
      <c r="Z80" s="4" t="s">
        <v>114</v>
      </c>
      <c r="AA80" s="4" t="s">
        <v>793</v>
      </c>
      <c r="AB80" s="3" t="s">
        <v>97</v>
      </c>
      <c r="AC80" s="4" t="s">
        <v>794</v>
      </c>
      <c r="AD80" s="4" t="s">
        <v>795</v>
      </c>
      <c r="AE80" s="3" t="s">
        <v>60</v>
      </c>
      <c r="AF80" s="3" t="s">
        <v>60</v>
      </c>
      <c r="AG80" s="4" t="n">
        <v>0</v>
      </c>
      <c r="AH80" s="4" t="s">
        <v>157</v>
      </c>
      <c r="AI80" s="4" t="s">
        <v>280</v>
      </c>
      <c r="AJ80" s="3" t="n">
        <v>2</v>
      </c>
      <c r="AK80" s="6" t="s">
        <v>796</v>
      </c>
      <c r="AL80" s="0" t="s">
        <v>102</v>
      </c>
    </row>
    <row r="81" customFormat="false" ht="23.25" hidden="false" customHeight="true" outlineLevel="0" collapsed="false">
      <c r="A81" s="3" t="s">
        <v>797</v>
      </c>
      <c r="B81" s="4" t="s">
        <v>798</v>
      </c>
      <c r="C81" s="4" t="s">
        <v>799</v>
      </c>
      <c r="D81" s="3" t="s">
        <v>41</v>
      </c>
      <c r="E81" s="3" t="s">
        <v>273</v>
      </c>
      <c r="F81" s="3" t="s">
        <v>274</v>
      </c>
      <c r="G81" s="4" t="s">
        <v>800</v>
      </c>
      <c r="H81" s="4" t="s">
        <v>801</v>
      </c>
      <c r="I81" s="4" t="s">
        <v>110</v>
      </c>
      <c r="J81" s="3" t="s">
        <v>221</v>
      </c>
      <c r="K81" s="4"/>
      <c r="L81" s="4"/>
      <c r="M81" s="4" t="n">
        <v>0</v>
      </c>
      <c r="N81" s="4" t="n">
        <v>0</v>
      </c>
      <c r="O81" s="4" t="n">
        <v>0</v>
      </c>
      <c r="P81" s="4" t="n">
        <v>0</v>
      </c>
      <c r="Q81" s="5" t="n">
        <f aca="false">SUM(M81:P81)</f>
        <v>0</v>
      </c>
      <c r="R81" s="3" t="s">
        <v>60</v>
      </c>
      <c r="S81" s="4"/>
      <c r="T81" s="4"/>
      <c r="U81" s="4"/>
      <c r="V81" s="3"/>
      <c r="W81" s="4"/>
      <c r="X81" s="4"/>
      <c r="Y81" s="4"/>
      <c r="Z81" s="4" t="s">
        <v>55</v>
      </c>
      <c r="AA81" s="4" t="s">
        <v>802</v>
      </c>
      <c r="AB81" s="3" t="s">
        <v>57</v>
      </c>
      <c r="AC81" s="4" t="s">
        <v>803</v>
      </c>
      <c r="AD81" s="4" t="s">
        <v>365</v>
      </c>
      <c r="AE81" s="3" t="s">
        <v>60</v>
      </c>
      <c r="AF81" s="3" t="s">
        <v>60</v>
      </c>
      <c r="AG81" s="4" t="n">
        <v>1</v>
      </c>
      <c r="AH81" s="4" t="s">
        <v>61</v>
      </c>
      <c r="AI81" s="4" t="s">
        <v>280</v>
      </c>
      <c r="AJ81" s="3" t="n">
        <v>5</v>
      </c>
      <c r="AK81" s="6" t="s">
        <v>804</v>
      </c>
      <c r="AL8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7" t="s">
        <v>813</v>
      </c>
    </row>
    <row r="2" customFormat="false" ht="15" hidden="false" customHeight="true" outlineLevel="0" collapsed="false">
      <c r="A2" s="8"/>
      <c r="B2" s="8"/>
    </row>
    <row r="3" customFormat="false" ht="15" hidden="false" customHeight="true" outlineLevel="0" collapsed="false">
      <c r="A3" s="9" t="s">
        <v>814</v>
      </c>
      <c r="B3" s="9" t="s">
        <v>815</v>
      </c>
      <c r="C3" s="9" t="s">
        <v>816</v>
      </c>
    </row>
    <row r="4" customFormat="false" ht="15" hidden="false" customHeight="true" outlineLevel="0" collapsed="false">
      <c r="A4" s="8" t="s">
        <v>43</v>
      </c>
      <c r="B4" s="8" t="n">
        <f aca="false">COUNTIF('Funder Database April'!F:F,"Active")</f>
        <v>28</v>
      </c>
      <c r="C4" s="8" t="n">
        <f aca="false">SUMIF('Funder Database April'!F:F,"Active",'Funder Database April'!Q:Q)</f>
        <v>8060000</v>
      </c>
    </row>
    <row r="5" customFormat="false" ht="15" hidden="false" customHeight="true" outlineLevel="0" collapsed="false">
      <c r="A5" s="8" t="s">
        <v>196</v>
      </c>
      <c r="B5" s="8" t="n">
        <f aca="false">COUNTIF('Funder Database April'!F:F,"Prospect")</f>
        <v>35</v>
      </c>
      <c r="C5" s="10" t="n">
        <f aca="false">SUMIF('Funder Database April'!F:F,"Prospect",'Funder Database April'!Q:Q)</f>
        <v>325000</v>
      </c>
    </row>
    <row r="6" customFormat="false" ht="15" hidden="false" customHeight="true" outlineLevel="0" collapsed="false">
      <c r="A6" s="8" t="s">
        <v>250</v>
      </c>
      <c r="B6" s="8" t="n">
        <f aca="false">COUNTIF('Funder Database April'!F:F,"Lapsed")</f>
        <v>9</v>
      </c>
      <c r="C6" s="10" t="n">
        <f aca="false">SUMIF('Funder Database April'!F:F,"Lapsed",'Funder Database April'!Q:Q)</f>
        <v>755000</v>
      </c>
    </row>
    <row r="7" customFormat="false" ht="15" hidden="false" customHeight="true" outlineLevel="0" collapsed="false">
      <c r="A7" s="8" t="s">
        <v>274</v>
      </c>
      <c r="B7" s="8" t="n">
        <f aca="false">COUNTIF('Funder Database April'!F:F,"Inactive")</f>
        <v>8</v>
      </c>
      <c r="C7" s="10" t="n">
        <f aca="false">SUMIF('Funder Database April'!F:F,"Inactive",'Funder Database April'!Q:Q)</f>
        <v>0</v>
      </c>
    </row>
    <row r="8" customFormat="false" ht="15" hidden="false" customHeight="true" outlineLevel="0" collapsed="false">
      <c r="A8" s="8" t="s">
        <v>817</v>
      </c>
      <c r="B8" s="8" t="n">
        <f aca="false">SUM(B4:B7)</f>
        <v>80</v>
      </c>
      <c r="C8" s="10" t="n">
        <f aca="false">SUM(C4:C7)</f>
        <v>9140000</v>
      </c>
    </row>
    <row r="9" customFormat="false" ht="15" hidden="false" customHeight="true" outlineLevel="0" collapsed="false">
      <c r="A9" s="11"/>
      <c r="B9" s="11"/>
      <c r="C9" s="12"/>
    </row>
    <row r="10" customFormat="false" ht="15" hidden="false" customHeight="true" outlineLevel="0" collapsed="false">
      <c r="A10" s="8" t="s">
        <v>818</v>
      </c>
      <c r="B10" s="8" t="s">
        <v>815</v>
      </c>
    </row>
    <row r="11" customFormat="false" ht="15" hidden="false" customHeight="true" outlineLevel="0" collapsed="false">
      <c r="A11" s="9" t="s">
        <v>218</v>
      </c>
      <c r="B11" s="9" t="n">
        <f aca="false">COUNTIF('Funder Database April'!E:E,"Identification")</f>
        <v>10</v>
      </c>
    </row>
    <row r="12" customFormat="false" ht="15" hidden="false" customHeight="true" outlineLevel="0" collapsed="false">
      <c r="A12" s="8" t="s">
        <v>195</v>
      </c>
      <c r="B12" s="8" t="n">
        <f aca="false">COUNTIF('Funder Database April'!E:E,"Qualification")</f>
        <v>8</v>
      </c>
    </row>
    <row r="13" customFormat="false" ht="15" hidden="false" customHeight="true" outlineLevel="0" collapsed="false">
      <c r="A13" s="8" t="s">
        <v>107</v>
      </c>
      <c r="B13" s="8" t="n">
        <f aca="false">COUNTIF('Funder Database April'!E:E,"Cultivation")</f>
        <v>15</v>
      </c>
    </row>
    <row r="14" customFormat="false" ht="15" hidden="false" customHeight="true" outlineLevel="0" collapsed="false">
      <c r="A14" s="8" t="s">
        <v>237</v>
      </c>
      <c r="B14" s="8" t="n">
        <f aca="false">COUNTIF('Funder Database April'!E:E,"Solicitation")</f>
        <v>6</v>
      </c>
    </row>
    <row r="15" customFormat="false" ht="15" hidden="false" customHeight="true" outlineLevel="0" collapsed="false">
      <c r="A15" s="8" t="s">
        <v>42</v>
      </c>
      <c r="B15" s="8" t="n">
        <f aca="false">COUNTIF('Funder Database April'!E:E,"Stewardship")</f>
        <v>24</v>
      </c>
    </row>
    <row r="16" customFormat="false" ht="15" hidden="false" customHeight="true" outlineLevel="0" collapsed="false">
      <c r="A16" s="8" t="s">
        <v>249</v>
      </c>
      <c r="B16" s="8" t="n">
        <f aca="false">COUNTIF('Funder Database April'!E:E,"Re-engagement")</f>
        <v>9</v>
      </c>
    </row>
    <row r="17" customFormat="false" ht="15" hidden="false" customHeight="true" outlineLevel="0" collapsed="false">
      <c r="A17" s="8" t="s">
        <v>273</v>
      </c>
      <c r="B17" s="8" t="n">
        <f aca="false">COUNTIF('Funder Database April'!E:E,"Closed - Declined")</f>
        <v>8</v>
      </c>
    </row>
    <row r="18" customFormat="false" ht="15" hidden="false" customHeight="true" outlineLevel="0" collapsed="false">
      <c r="A18" s="8"/>
      <c r="B18" s="8"/>
    </row>
    <row r="19" customFormat="false" ht="15" hidden="false" customHeight="true" outlineLevel="0" collapsed="false">
      <c r="A19" s="8" t="s">
        <v>819</v>
      </c>
      <c r="B19" s="8" t="n">
        <f aca="false">SUM('Funder Database April'!P:P)</f>
        <v>2925000</v>
      </c>
    </row>
    <row r="20" customFormat="false" ht="15" hidden="false" customHeight="true" outlineLevel="0" collapsed="false">
      <c r="B2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2026-04-05T16:40:23Z</dcterms:created>
  <dc:creator>openpyxl</dc:creator>
  <dc:description/>
  <dc:language>en-US</dc:language>
  <cp:lastModifiedBy/>
  <dcterms:modified xsi:type="dcterms:W3CDTF">2026-04-05T17:40:49Z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