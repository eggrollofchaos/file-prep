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 2026 Donor Report" sheetId="1" state="visible" r:id="rId3"/>
    <sheet name="Scholarship Recipi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<sst xmlns="http://schemas.openxmlformats.org/spreadsheetml/2006/main" count="185" uniqueCount="139">
  <si>
    <t xml:space="preserve">Donor Name</t>
  </si>
  <si>
    <t xml:space="preserve">Organization</t>
  </si>
  <si>
    <t xml:space="preserve">Email</t>
  </si>
  <si>
    <t xml:space="preserve">Phone</t>
  </si>
  <si>
    <t xml:space="preserve">Donation Amount</t>
  </si>
  <si>
    <t xml:space="preserve">Donation Date</t>
  </si>
  <si>
    <t xml:space="preserve">Fund/DAF</t>
  </si>
  <si>
    <t xml:space="preserve">Region</t>
  </si>
  <si>
    <t xml:space="preserve">Recurring</t>
  </si>
  <si>
    <t xml:space="preserve">Notes</t>
  </si>
  <si>
    <t xml:space="preserve">Margaret Chen</t>
  </si>
  <si>
    <t xml:space="preserve">Chen Family Foundation</t>
  </si>
  <si>
    <t xml:space="preserve">margaret.chen@chenfamilyfdn.org</t>
  </si>
  <si>
    <t xml:space="preserve">(415) 555-2891</t>
  </si>
  <si>
    <t xml:space="preserve">01/15/2026</t>
  </si>
  <si>
    <t xml:space="preserve">Chen Family DAF - Fidelity Charitable</t>
  </si>
  <si>
    <t xml:space="preserve">West Coast</t>
  </si>
  <si>
    <t xml:space="preserve">Yes</t>
  </si>
  <si>
    <t xml:space="preserve">Multi-year pledge, 3 of 5</t>
  </si>
  <si>
    <t xml:space="preserve">Robert Blackwell III</t>
  </si>
  <si>
    <t xml:space="preserve">Blackwell Industries</t>
  </si>
  <si>
    <t xml:space="preserve">r.blackwell@blackwellindustries.com</t>
  </si>
  <si>
    <t xml:space="preserve">(212) 555-7634</t>
  </si>
  <si>
    <t xml:space="preserve">01/22/2026</t>
  </si>
  <si>
    <t xml:space="preserve">Blackwell Giving Fund - Schwab</t>
  </si>
  <si>
    <t xml:space="preserve">Northeast</t>
  </si>
  <si>
    <t xml:space="preserve">No</t>
  </si>
  <si>
    <t xml:space="preserve">First-time major gift; board referral</t>
  </si>
  <si>
    <t xml:space="preserve">Priya Ramanathan</t>
  </si>
  <si>
    <t xml:space="preserve">Ramanathan &amp; Associates</t>
  </si>
  <si>
    <t xml:space="preserve">priya@ramanathan-assoc.com</t>
  </si>
  <si>
    <t xml:space="preserve">(617) 555-4102</t>
  </si>
  <si>
    <t xml:space="preserve">02/03/2026</t>
  </si>
  <si>
    <t xml:space="preserve">Direct</t>
  </si>
  <si>
    <t xml:space="preserve">Increased from $50K last year</t>
  </si>
  <si>
    <t xml:space="preserve">James &amp; Dorothy Whitfield</t>
  </si>
  <si>
    <t xml:space="preserve">Whitfield Group</t>
  </si>
  <si>
    <t xml:space="preserve">jwhitfield@whitfieldgroup.net</t>
  </si>
  <si>
    <t xml:space="preserve">(312) 555-8819</t>
  </si>
  <si>
    <t xml:space="preserve">02/10/2026</t>
  </si>
  <si>
    <t xml:space="preserve">Whitfield Family DAF - Vanguard</t>
  </si>
  <si>
    <t xml:space="preserve">Midwest</t>
  </si>
  <si>
    <t xml:space="preserve">Annual renewal</t>
  </si>
  <si>
    <t xml:space="preserve">Sandra Okonkwo</t>
  </si>
  <si>
    <t xml:space="preserve">Okonkwo Ventures</t>
  </si>
  <si>
    <t xml:space="preserve">sokonkwo@okonkwoventures.com</t>
  </si>
  <si>
    <t xml:space="preserve">(404) 555-1357</t>
  </si>
  <si>
    <t xml:space="preserve">02/14/2026</t>
  </si>
  <si>
    <t xml:space="preserve">Southeast</t>
  </si>
  <si>
    <t xml:space="preserve">Event follow-up; interested in scholarship program</t>
  </si>
  <si>
    <t xml:space="preserve">David &amp; Rachel Kim</t>
  </si>
  <si>
    <t xml:space="preserve">Kim Family Trust</t>
  </si>
  <si>
    <t xml:space="preserve">david.kim@kimfamilytrust.org</t>
  </si>
  <si>
    <t xml:space="preserve">(310) 555-6243</t>
  </si>
  <si>
    <t xml:space="preserve">02/28/2026</t>
  </si>
  <si>
    <t xml:space="preserve">Kim Family DAF - Goldman Sachs Philanthropy Fund</t>
  </si>
  <si>
    <t xml:space="preserve">Largest single gift Q1; 10-year donor</t>
  </si>
  <si>
    <t xml:space="preserve">Thomas Fitzgerald</t>
  </si>
  <si>
    <t xml:space="preserve">Fitzgerald &amp; Moore LLP</t>
  </si>
  <si>
    <t xml:space="preserve">tfitzgerald@fitzmoore.com</t>
  </si>
  <si>
    <t xml:space="preserve">(202) 555-9088</t>
  </si>
  <si>
    <t xml:space="preserve">03/01/2026</t>
  </si>
  <si>
    <t xml:space="preserve">Mid-Atlantic</t>
  </si>
  <si>
    <t xml:space="preserve">Pro bono support also provided</t>
  </si>
  <si>
    <t xml:space="preserve">Alicia Gutierrez-Santos</t>
  </si>
  <si>
    <t xml:space="preserve">Santos Foundation</t>
  </si>
  <si>
    <t xml:space="preserve">alicia@santosfoundation.org</t>
  </si>
  <si>
    <t xml:space="preserve">(713) 555-3476</t>
  </si>
  <si>
    <t xml:space="preserve">03/05/2026</t>
  </si>
  <si>
    <t xml:space="preserve">Santos Foundation DAF - National Philanthropic Trust</t>
  </si>
  <si>
    <t xml:space="preserve">Southwest</t>
  </si>
  <si>
    <t xml:space="preserve">Focus: STEM education pipeline</t>
  </si>
  <si>
    <t xml:space="preserve">William R. Thornton</t>
  </si>
  <si>
    <t xml:space="preserve">Thornton Capital Partners</t>
  </si>
  <si>
    <t xml:space="preserve">wthornton@thorntoncap.com</t>
  </si>
  <si>
    <t xml:space="preserve">(646) 555-5521</t>
  </si>
  <si>
    <t xml:space="preserve">03/10/2026</t>
  </si>
  <si>
    <t xml:space="preserve">Prospect for board membership</t>
  </si>
  <si>
    <t xml:space="preserve">Naomi Ashford</t>
  </si>
  <si>
    <t xml:space="preserve">Ashford Philanthropic Group</t>
  </si>
  <si>
    <t xml:space="preserve">nashford@ashfordphilanthropy.org</t>
  </si>
  <si>
    <t xml:space="preserve">(503) 555-7789</t>
  </si>
  <si>
    <t xml:space="preserve">03/15/2026</t>
  </si>
  <si>
    <t xml:space="preserve">Ashford DAF - BNY Mellon</t>
  </si>
  <si>
    <t xml:space="preserve">Pacific NW</t>
  </si>
  <si>
    <t xml:space="preserve">Earmarked for rural program expansion</t>
  </si>
  <si>
    <t xml:space="preserve">Michael &amp; Patricia Novak</t>
  </si>
  <si>
    <t xml:space="preserve">Novak Family Foundation</t>
  </si>
  <si>
    <t xml:space="preserve">mnovak@novakfamilyfdn.org</t>
  </si>
  <si>
    <t xml:space="preserve">(847) 555-4412</t>
  </si>
  <si>
    <t xml:space="preserve">03/18/2026</t>
  </si>
  <si>
    <t xml:space="preserve">Novak Family DAF - Community Foundation</t>
  </si>
  <si>
    <t xml:space="preserve">Pell-eligible student focus</t>
  </si>
  <si>
    <t xml:space="preserve">Evelyn Tran</t>
  </si>
  <si>
    <t xml:space="preserve">Tran Holdings LLC</t>
  </si>
  <si>
    <t xml:space="preserve">evelyn.tran@tranholdings.com</t>
  </si>
  <si>
    <t xml:space="preserve">(408) 555-2106</t>
  </si>
  <si>
    <t xml:space="preserve">03/22/2026</t>
  </si>
  <si>
    <t xml:space="preserve">Alumni donor; Class of 2005</t>
  </si>
  <si>
    <t xml:space="preserve">Q1 Summary</t>
  </si>
  <si>
    <t xml:space="preserve">Metric</t>
  </si>
  <si>
    <t xml:space="preserve">Value</t>
  </si>
  <si>
    <t xml:space="preserve">Total Donations</t>
  </si>
  <si>
    <t xml:space="preserve">Average Gift Size</t>
  </si>
  <si>
    <t xml:space="preserve">Number of Donors</t>
  </si>
  <si>
    <t xml:space="preserve">Recurring Donors</t>
  </si>
  <si>
    <t xml:space="preserve">Top Donor</t>
  </si>
  <si>
    <t xml:space="preserve">Top Organization</t>
  </si>
  <si>
    <t xml:space="preserve">Participant Name</t>
  </si>
  <si>
    <t xml:space="preserve">Pell Grant Recipient</t>
  </si>
  <si>
    <t xml:space="preserve">Program Year</t>
  </si>
  <si>
    <t xml:space="preserve">Scholarship Amount</t>
  </si>
  <si>
    <t xml:space="preserve">Status</t>
  </si>
  <si>
    <t xml:space="preserve">Maria Gonzalez</t>
  </si>
  <si>
    <t xml:space="preserve">mgonzalez@university.edu</t>
  </si>
  <si>
    <t xml:space="preserve">(505) 555-1234</t>
  </si>
  <si>
    <t xml:space="preserve">Active</t>
  </si>
  <si>
    <t xml:space="preserve">Jaylen Washington</t>
  </si>
  <si>
    <t xml:space="preserve">jwashington@college.edu</t>
  </si>
  <si>
    <t xml:space="preserve">(773) 555-5678</t>
  </si>
  <si>
    <t xml:space="preserve">Anh Nguyen</t>
  </si>
  <si>
    <t xml:space="preserve">anguyen@state.edu</t>
  </si>
  <si>
    <t xml:space="preserve">(714) 555-9012</t>
  </si>
  <si>
    <t xml:space="preserve">Graduated</t>
  </si>
  <si>
    <t xml:space="preserve">Brittany Coleman</t>
  </si>
  <si>
    <t xml:space="preserve">bcoleman@university.edu</t>
  </si>
  <si>
    <t xml:space="preserve">(901) 555-3456</t>
  </si>
  <si>
    <t xml:space="preserve">Carlos Medina</t>
  </si>
  <si>
    <t xml:space="preserve">cmedina@community.edu</t>
  </si>
  <si>
    <t xml:space="preserve">(210) 555-7890</t>
  </si>
  <si>
    <t xml:space="preserve">DeShawn Harris</t>
  </si>
  <si>
    <t xml:space="preserve">dharris@university.edu</t>
  </si>
  <si>
    <t xml:space="preserve">(404) 555-2345</t>
  </si>
  <si>
    <t xml:space="preserve">Emily Johansson</t>
  </si>
  <si>
    <t xml:space="preserve">ejohansson@college.edu</t>
  </si>
  <si>
    <t xml:space="preserve">(612) 555-6789</t>
  </si>
  <si>
    <t xml:space="preserve">Fatima Al-Rashid</t>
  </si>
  <si>
    <t xml:space="preserve">falrashid@state.edu</t>
  </si>
  <si>
    <t xml:space="preserve">(313) 555-0123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</si>
</sst>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090"/>
        <bgColor rgb="FF666699"/>
      </patternFill>
    </fill>
    <fill>
      <patternFill patternType="solid">
        <fgColor rgb="FFE8E8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4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n">
        <v>250000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3" t="n">
        <v>150000</v>
      </c>
      <c r="F3" s="4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3" t="n">
        <v>75000</v>
      </c>
      <c r="F4" s="4" t="s">
        <v>32</v>
      </c>
      <c r="G4" s="2" t="s">
        <v>33</v>
      </c>
      <c r="H4" s="2" t="s">
        <v>25</v>
      </c>
      <c r="I4" s="2" t="s">
        <v>17</v>
      </c>
      <c r="J4" s="2" t="s">
        <v>34</v>
      </c>
    </row>
    <row r="5" customFormat="false" ht="15" hidden="false" customHeight="false" outlineLevel="0" collapsed="false">
      <c r="A5" s="2" t="s">
        <v>35</v>
      </c>
      <c r="B5" s="2" t="s">
        <v>36</v>
      </c>
      <c r="C5" s="2" t="s">
        <v>37</v>
      </c>
      <c r="D5" s="2" t="s">
        <v>38</v>
      </c>
      <c r="E5" s="3" t="n">
        <v>100000</v>
      </c>
      <c r="F5" s="4" t="s">
        <v>39</v>
      </c>
      <c r="G5" s="2" t="s">
        <v>40</v>
      </c>
      <c r="H5" s="2" t="s">
        <v>41</v>
      </c>
      <c r="I5" s="2" t="s">
        <v>17</v>
      </c>
      <c r="J5" s="2" t="s">
        <v>42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45</v>
      </c>
      <c r="D6" s="2" t="s">
        <v>46</v>
      </c>
      <c r="E6" s="3" t="n">
        <v>50000</v>
      </c>
      <c r="F6" s="4" t="s">
        <v>47</v>
      </c>
      <c r="G6" s="2" t="s">
        <v>33</v>
      </c>
      <c r="H6" s="2" t="s">
        <v>48</v>
      </c>
      <c r="I6" s="2" t="s">
        <v>26</v>
      </c>
      <c r="J6" s="2" t="s">
        <v>49</v>
      </c>
    </row>
    <row r="7" customFormat="false" ht="15" hidden="false" customHeight="false" outlineLevel="0" collapsed="false">
      <c r="A7" s="2" t="s">
        <v>50</v>
      </c>
      <c r="B7" s="2" t="s">
        <v>51</v>
      </c>
      <c r="C7" s="2" t="s">
        <v>52</v>
      </c>
      <c r="D7" s="2" t="s">
        <v>53</v>
      </c>
      <c r="E7" s="3" t="n">
        <v>500000</v>
      </c>
      <c r="F7" s="4" t="s">
        <v>54</v>
      </c>
      <c r="G7" s="2" t="s">
        <v>55</v>
      </c>
      <c r="H7" s="2" t="s">
        <v>16</v>
      </c>
      <c r="I7" s="2" t="s">
        <v>17</v>
      </c>
      <c r="J7" s="2" t="s">
        <v>56</v>
      </c>
    </row>
    <row r="8" customFormat="false" ht="15" hidden="false" customHeight="false" outlineLevel="0" collapsed="false">
      <c r="A8" s="2" t="s">
        <v>57</v>
      </c>
      <c r="B8" s="2" t="s">
        <v>58</v>
      </c>
      <c r="C8" s="2" t="s">
        <v>59</v>
      </c>
      <c r="D8" s="2" t="s">
        <v>60</v>
      </c>
      <c r="E8" s="3" t="n">
        <v>25000</v>
      </c>
      <c r="F8" s="4" t="s">
        <v>61</v>
      </c>
      <c r="G8" s="2" t="s">
        <v>33</v>
      </c>
      <c r="H8" s="2" t="s">
        <v>62</v>
      </c>
      <c r="I8" s="2" t="s">
        <v>26</v>
      </c>
      <c r="J8" s="2" t="s">
        <v>63</v>
      </c>
    </row>
    <row r="9" customFormat="false" ht="15" hidden="false" customHeight="false" outlineLevel="0" collapsed="false">
      <c r="A9" s="2" t="s">
        <v>64</v>
      </c>
      <c r="B9" s="2" t="s">
        <v>65</v>
      </c>
      <c r="C9" s="2" t="s">
        <v>66</v>
      </c>
      <c r="D9" s="2" t="s">
        <v>67</v>
      </c>
      <c r="E9" s="3" t="n">
        <v>180000</v>
      </c>
      <c r="F9" s="4" t="s">
        <v>68</v>
      </c>
      <c r="G9" s="2" t="s">
        <v>69</v>
      </c>
      <c r="H9" s="2" t="s">
        <v>70</v>
      </c>
      <c r="I9" s="2" t="s">
        <v>17</v>
      </c>
      <c r="J9" s="2" t="s">
        <v>71</v>
      </c>
    </row>
    <row r="10" customFormat="false" ht="15" hidden="false" customHeight="false" outlineLevel="0" collapsed="false">
      <c r="A10" s="2" t="s">
        <v>72</v>
      </c>
      <c r="B10" s="2" t="s">
        <v>73</v>
      </c>
      <c r="C10" s="2" t="s">
        <v>74</v>
      </c>
      <c r="D10" s="2" t="s">
        <v>75</v>
      </c>
      <c r="E10" s="3" t="n">
        <v>60000</v>
      </c>
      <c r="F10" s="4" t="s">
        <v>76</v>
      </c>
      <c r="G10" s="2" t="s">
        <v>33</v>
      </c>
      <c r="H10" s="2" t="s">
        <v>25</v>
      </c>
      <c r="I10" s="2" t="s">
        <v>26</v>
      </c>
      <c r="J10" s="2" t="s">
        <v>77</v>
      </c>
    </row>
    <row r="11" customFormat="false" ht="15" hidden="false" customHeight="false" outlineLevel="0" collapsed="false">
      <c r="A11" s="2" t="s">
        <v>78</v>
      </c>
      <c r="B11" s="2" t="s">
        <v>79</v>
      </c>
      <c r="C11" s="2" t="s">
        <v>80</v>
      </c>
      <c r="D11" s="2" t="s">
        <v>81</v>
      </c>
      <c r="E11" s="3" t="n">
        <v>125000</v>
      </c>
      <c r="F11" s="4" t="s">
        <v>82</v>
      </c>
      <c r="G11" s="2" t="s">
        <v>83</v>
      </c>
      <c r="H11" s="2" t="s">
        <v>84</v>
      </c>
      <c r="I11" s="2" t="s">
        <v>17</v>
      </c>
      <c r="J11" s="2" t="s">
        <v>85</v>
      </c>
    </row>
    <row r="12" customFormat="false" ht="15" hidden="false" customHeight="false" outlineLevel="0" collapsed="false">
      <c r="A12" s="2" t="s">
        <v>86</v>
      </c>
      <c r="B12" s="2" t="s">
        <v>87</v>
      </c>
      <c r="C12" s="2" t="s">
        <v>88</v>
      </c>
      <c r="D12" s="2" t="s">
        <v>89</v>
      </c>
      <c r="E12" s="3" t="n">
        <v>90000</v>
      </c>
      <c r="F12" s="4" t="s">
        <v>90</v>
      </c>
      <c r="G12" s="2" t="s">
        <v>91</v>
      </c>
      <c r="H12" s="2" t="s">
        <v>41</v>
      </c>
      <c r="I12" s="2" t="s">
        <v>17</v>
      </c>
      <c r="J12" s="2" t="s">
        <v>92</v>
      </c>
    </row>
    <row r="13" customFormat="false" ht="15" hidden="false" customHeight="false" outlineLevel="0" collapsed="false">
      <c r="A13" s="2" t="s">
        <v>93</v>
      </c>
      <c r="B13" s="2" t="s">
        <v>94</v>
      </c>
      <c r="C13" s="2" t="s">
        <v>95</v>
      </c>
      <c r="D13" s="2" t="s">
        <v>96</v>
      </c>
      <c r="E13" s="3" t="n">
        <v>35000</v>
      </c>
      <c r="F13" s="4" t="s">
        <v>97</v>
      </c>
      <c r="G13" s="2" t="s">
        <v>33</v>
      </c>
      <c r="H13" s="2" t="s">
        <v>16</v>
      </c>
      <c r="I13" s="2" t="s">
        <v>26</v>
      </c>
      <c r="J13" s="2" t="s">
        <v>98</v>
      </c>
    </row>
    <row r="15" customFormat="false" ht="15" hidden="false" customHeight="false" outlineLevel="0" collapsed="false">
      <c r="A15" s="5" t="s">
        <v>99</v>
      </c>
    </row>
    <row r="16" customFormat="false" ht="15" hidden="false" customHeight="false" outlineLevel="0" collapsed="false">
      <c r="A16" s="6" t="s">
        <v>100</v>
      </c>
      <c r="B16" s="6" t="s">
        <v>101</v>
      </c>
    </row>
    <row r="17" customFormat="false" ht="15" hidden="false" customHeight="false" outlineLevel="0" collapsed="false">
      <c r="A17" s="7" t="s">
        <v>102</v>
      </c>
      <c r="B17" s="8" t="n">
        <f aca="false">SUM(E2:E13)</f>
        <v>1640000</v>
      </c>
    </row>
    <row r="18" customFormat="false" ht="15" hidden="false" customHeight="false" outlineLevel="0" collapsed="false">
      <c r="A18" s="7" t="s">
        <v>103</v>
      </c>
      <c r="B18" s="8" t="n">
        <f aca="false">AVERAGE(E2:E13)</f>
        <v>136666.666666667</v>
      </c>
    </row>
    <row r="19" customFormat="false" ht="15" hidden="false" customHeight="false" outlineLevel="0" collapsed="false">
      <c r="A19" s="7" t="s">
        <v>104</v>
      </c>
      <c r="B19" s="7" t="n">
        <f aca="false">COUNTA(A2:A13)</f>
        <v>12</v>
      </c>
    </row>
    <row r="20" customFormat="false" ht="15" hidden="false" customHeight="false" outlineLevel="0" collapsed="false">
      <c r="A20" s="7" t="s">
        <v>105</v>
      </c>
      <c r="B20" s="7" t="n">
        <f aca="false">COUNTIF(I2:I13,"Yes")</f>
        <v>7</v>
      </c>
    </row>
    <row r="21" customFormat="false" ht="15" hidden="false" customHeight="false" outlineLevel="0" collapsed="false">
      <c r="A21" s="7" t="s">
        <v>106</v>
      </c>
      <c r="B21" s="7" t="s">
        <v>50</v>
      </c>
    </row>
    <row r="22" customFormat="false" ht="15" hidden="false" customHeight="false" outlineLevel="0" collapsed="false">
      <c r="A22" s="7" t="s">
        <v>107</v>
      </c>
      <c r="B22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108</v>
      </c>
      <c r="B1" s="1" t="s">
        <v>2</v>
      </c>
      <c r="C1" s="1" t="s">
        <v>3</v>
      </c>
      <c r="D1" s="1" t="s">
        <v>7</v>
      </c>
      <c r="E1" s="1" t="s">
        <v>109</v>
      </c>
      <c r="F1" s="1" t="s">
        <v>110</v>
      </c>
      <c r="G1" s="1" t="s">
        <v>111</v>
      </c>
      <c r="H1" s="1" t="s">
        <v>112</v>
      </c>
    </row>
    <row r="2" customFormat="false" ht="15" hidden="false" customHeight="false" outlineLevel="0" collapsed="false">
      <c r="A2" s="2" t="s">
        <v>113</v>
      </c>
      <c r="B2" s="2" t="s">
        <v>114</v>
      </c>
      <c r="C2" s="2" t="s">
        <v>115</v>
      </c>
      <c r="D2" s="2" t="s">
        <v>70</v>
      </c>
      <c r="E2" s="2" t="s">
        <v>17</v>
      </c>
      <c r="F2" s="2" t="n">
        <v>2025</v>
      </c>
      <c r="G2" s="3" t="n">
        <v>15000</v>
      </c>
      <c r="H2" s="2" t="s">
        <v>116</v>
      </c>
    </row>
    <row r="3" customFormat="false" ht="15" hidden="false" customHeight="false" outlineLevel="0" collapsed="false">
      <c r="A3" s="2" t="s">
        <v>117</v>
      </c>
      <c r="B3" s="2" t="s">
        <v>118</v>
      </c>
      <c r="C3" s="2" t="s">
        <v>119</v>
      </c>
      <c r="D3" s="2" t="s">
        <v>41</v>
      </c>
      <c r="E3" s="2" t="s">
        <v>17</v>
      </c>
      <c r="F3" s="2" t="n">
        <v>2025</v>
      </c>
      <c r="G3" s="3" t="n">
        <v>12000</v>
      </c>
      <c r="H3" s="2" t="s">
        <v>116</v>
      </c>
    </row>
    <row r="4" customFormat="false" ht="15" hidden="false" customHeight="false" outlineLevel="0" collapsed="false">
      <c r="A4" s="2" t="s">
        <v>120</v>
      </c>
      <c r="B4" s="2" t="s">
        <v>121</v>
      </c>
      <c r="C4" s="2" t="s">
        <v>122</v>
      </c>
      <c r="D4" s="2" t="s">
        <v>16</v>
      </c>
      <c r="E4" s="2" t="s">
        <v>17</v>
      </c>
      <c r="F4" s="2" t="n">
        <v>2024</v>
      </c>
      <c r="G4" s="3" t="n">
        <v>15000</v>
      </c>
      <c r="H4" s="2" t="s">
        <v>123</v>
      </c>
    </row>
    <row r="5" customFormat="false" ht="15" hidden="false" customHeight="false" outlineLevel="0" collapsed="false">
      <c r="A5" s="2" t="s">
        <v>124</v>
      </c>
      <c r="B5" s="2" t="s">
        <v>125</v>
      </c>
      <c r="C5" s="2" t="s">
        <v>126</v>
      </c>
      <c r="D5" s="2" t="s">
        <v>48</v>
      </c>
      <c r="E5" s="2" t="s">
        <v>26</v>
      </c>
      <c r="F5" s="2" t="n">
        <v>2025</v>
      </c>
      <c r="G5" s="3" t="n">
        <v>10000</v>
      </c>
      <c r="H5" s="2" t="s">
        <v>116</v>
      </c>
    </row>
    <row r="6" customFormat="false" ht="15" hidden="false" customHeight="false" outlineLevel="0" collapsed="false">
      <c r="A6" s="2" t="s">
        <v>127</v>
      </c>
      <c r="B6" s="2" t="s">
        <v>128</v>
      </c>
      <c r="C6" s="2" t="s">
        <v>129</v>
      </c>
      <c r="D6" s="2" t="s">
        <v>70</v>
      </c>
      <c r="E6" s="2" t="s">
        <v>17</v>
      </c>
      <c r="F6" s="2" t="n">
        <v>2024</v>
      </c>
      <c r="G6" s="3" t="n">
        <v>12000</v>
      </c>
      <c r="H6" s="2" t="s">
        <v>116</v>
      </c>
    </row>
    <row r="7" customFormat="false" ht="15" hidden="false" customHeight="false" outlineLevel="0" collapsed="false">
      <c r="A7" s="2" t="s">
        <v>130</v>
      </c>
      <c r="B7" s="2" t="s">
        <v>131</v>
      </c>
      <c r="C7" s="2" t="s">
        <v>132</v>
      </c>
      <c r="D7" s="2" t="s">
        <v>48</v>
      </c>
      <c r="E7" s="2" t="s">
        <v>17</v>
      </c>
      <c r="F7" s="2" t="n">
        <v>2025</v>
      </c>
      <c r="G7" s="3" t="n">
        <v>15000</v>
      </c>
      <c r="H7" s="2" t="s">
        <v>116</v>
      </c>
    </row>
    <row r="8" customFormat="false" ht="15" hidden="false" customHeight="false" outlineLevel="0" collapsed="false">
      <c r="A8" s="2" t="s">
        <v>133</v>
      </c>
      <c r="B8" s="2" t="s">
        <v>134</v>
      </c>
      <c r="C8" s="2" t="s">
        <v>135</v>
      </c>
      <c r="D8" s="2" t="s">
        <v>41</v>
      </c>
      <c r="E8" s="2" t="s">
        <v>26</v>
      </c>
      <c r="F8" s="2" t="n">
        <v>2024</v>
      </c>
      <c r="G8" s="3" t="n">
        <v>10000</v>
      </c>
      <c r="H8" s="2" t="s">
        <v>123</v>
      </c>
    </row>
    <row r="9" customFormat="false" ht="15" hidden="false" customHeight="false" outlineLevel="0" collapsed="false">
      <c r="A9" s="2" t="s">
        <v>136</v>
      </c>
      <c r="B9" s="2" t="s">
        <v>137</v>
      </c>
      <c r="C9" s="2" t="s">
        <v>138</v>
      </c>
      <c r="D9" s="2" t="s">
        <v>41</v>
      </c>
      <c r="E9" s="2" t="s">
        <v>17</v>
      </c>
      <c r="F9" s="2" t="n">
        <v>2025</v>
      </c>
      <c r="G9" s="3" t="n">
        <v>15000</v>
      </c>
      <c r="H9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2026-04-05T15:04:00Z</dcterms:created>
  <dc:creator>openpyxl</dc:creator>
  <dc:description/>
  <dc:language>en-US</dc:language>
  <cp:lastModifiedBy/>
  <dcterms:modified xsi:type="dcterms:W3CDTF">2026-04-05T15:04:00Z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